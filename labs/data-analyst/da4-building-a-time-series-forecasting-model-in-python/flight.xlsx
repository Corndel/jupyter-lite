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codeName="ThisWorkbook" defaultThemeVersion="166925"/>
  <mc:AlternateContent xmlns:mc="http://schemas.openxmlformats.org/markup-compatibility/2006">
    <mc:Choice Requires="x15">
      <x15ac:absPath xmlns:x15ac="http://schemas.microsoft.com/office/spreadsheetml/2010/11/ac" url="https://corndel-my.sharepoint.com/personal/eoin_martyn_corndel_com/Documents/Curriculum/v1/Workshops/TimeSeries-1/"/>
    </mc:Choice>
  </mc:AlternateContent>
  <xr:revisionPtr revIDLastSave="332" documentId="13_ncr:40009_{690131CB-6F6D-4E8E-A688-394A810347EA}" xr6:coauthVersionLast="47" xr6:coauthVersionMax="47" xr10:uidLastSave="{BD7633E7-D7A7-4016-AE55-6DAED5615F1B}"/>
  <bookViews>
    <workbookView minimized="1" xWindow="7350" yWindow="1940" windowWidth="3330" windowHeight="2670" activeTab="5" xr2:uid="{00000000-000D-0000-FFFF-FFFF00000000}"/>
  </bookViews>
  <sheets>
    <sheet name="flight" sheetId="1" r:id="rId1"/>
    <sheet name="Base Model" sheetId="6" r:id="rId2"/>
    <sheet name="SES" sheetId="2" r:id="rId3"/>
    <sheet name="Holt Linear (1)" sheetId="3" r:id="rId4"/>
    <sheet name="Holt Linear (2)" sheetId="12" r:id="rId5"/>
    <sheet name="Holt-Winters (1)" sheetId="5" r:id="rId6"/>
    <sheet name="Holt-Winters (2)" sheetId="7" r:id="rId7"/>
    <sheet name="Holt-Winters (3)" sheetId="8" r:id="rId8"/>
    <sheet name="Holt-Winters (4)" sheetId="9" r:id="rId9"/>
    <sheet name="Summary" sheetId="10" r:id="rId10"/>
    <sheet name="ETS Classification" sheetId="15" r:id="rId11"/>
    <sheet name="Forecast" sheetId="14"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2" l="1"/>
  <c r="E137" i="14"/>
  <c r="E136" i="14"/>
  <c r="E135" i="14"/>
  <c r="E134" i="14"/>
  <c r="E130" i="14"/>
  <c r="E129" i="14"/>
  <c r="E141" i="14" s="1"/>
  <c r="E128" i="14"/>
  <c r="E140" i="14" s="1"/>
  <c r="E127" i="14"/>
  <c r="E139" i="14" s="1"/>
  <c r="E126" i="14"/>
  <c r="E138" i="14" s="1"/>
  <c r="E125" i="14"/>
  <c r="E124" i="14"/>
  <c r="E123" i="14"/>
  <c r="E122" i="14"/>
  <c r="E121" i="14"/>
  <c r="E133" i="14" s="1"/>
  <c r="E120" i="14"/>
  <c r="E132" i="14" s="1"/>
  <c r="E119" i="14"/>
  <c r="E131" i="14" s="1"/>
  <c r="E118" i="14"/>
  <c r="F132" i="14" l="1"/>
  <c r="F125" i="14"/>
  <c r="F124" i="14"/>
  <c r="F141" i="14"/>
  <c r="F118" i="14"/>
  <c r="D120" i="14"/>
  <c r="D121" i="14" s="1"/>
  <c r="D122" i="14" s="1"/>
  <c r="D123" i="14" s="1"/>
  <c r="D124" i="14" s="1"/>
  <c r="D125" i="14" s="1"/>
  <c r="D126" i="14" s="1"/>
  <c r="D127" i="14" s="1"/>
  <c r="D128" i="14" s="1"/>
  <c r="D129" i="14" s="1"/>
  <c r="D130" i="14" s="1"/>
  <c r="D131" i="14" s="1"/>
  <c r="D132" i="14" s="1"/>
  <c r="D133" i="14" s="1"/>
  <c r="D134" i="14" s="1"/>
  <c r="D135" i="14" s="1"/>
  <c r="D136" i="14" s="1"/>
  <c r="D137" i="14" s="1"/>
  <c r="D138" i="14" s="1"/>
  <c r="D139" i="14" s="1"/>
  <c r="D140" i="14" s="1"/>
  <c r="D141" i="14" s="1"/>
  <c r="D119" i="14"/>
  <c r="D118" i="14"/>
  <c r="C119" i="14" s="1"/>
  <c r="C120" i="14" s="1"/>
  <c r="C121" i="14" s="1"/>
  <c r="C118" i="14"/>
  <c r="E22" i="14"/>
  <c r="C12" i="14"/>
  <c r="D11" i="14"/>
  <c r="E23" i="14" s="1"/>
  <c r="C11" i="14"/>
  <c r="G10" i="14"/>
  <c r="F10" i="14"/>
  <c r="D11" i="12"/>
  <c r="C11" i="12"/>
  <c r="F10" i="12"/>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G10" i="2" s="1"/>
  <c r="C12" i="12"/>
  <c r="D12" i="12" s="1"/>
  <c r="G10" i="12"/>
  <c r="E34" i="9"/>
  <c r="E33" i="9"/>
  <c r="E32" i="9"/>
  <c r="E31" i="9"/>
  <c r="E30" i="9"/>
  <c r="E29" i="9"/>
  <c r="E28" i="9"/>
  <c r="E27" i="9"/>
  <c r="E26" i="9"/>
  <c r="E25" i="9"/>
  <c r="E24" i="9"/>
  <c r="E23" i="9"/>
  <c r="E22" i="9"/>
  <c r="D11" i="9"/>
  <c r="C11" i="9"/>
  <c r="F10" i="9"/>
  <c r="G10" i="9" s="1"/>
  <c r="E34" i="8"/>
  <c r="E33" i="8"/>
  <c r="E32" i="8"/>
  <c r="E31" i="8"/>
  <c r="E30" i="8"/>
  <c r="E29" i="8"/>
  <c r="E28" i="8"/>
  <c r="E27" i="8"/>
  <c r="E26" i="8"/>
  <c r="E25" i="8"/>
  <c r="E24" i="8"/>
  <c r="E23" i="8"/>
  <c r="E22" i="8"/>
  <c r="D11" i="8"/>
  <c r="C12" i="8" s="1"/>
  <c r="D12" i="8" s="1"/>
  <c r="C11" i="8"/>
  <c r="F10" i="8"/>
  <c r="G10" i="8" s="1"/>
  <c r="F11" i="9"/>
  <c r="E34" i="7"/>
  <c r="E33" i="7"/>
  <c r="E32" i="7"/>
  <c r="E31" i="7"/>
  <c r="E30" i="7"/>
  <c r="E29" i="7"/>
  <c r="E28" i="7"/>
  <c r="E27" i="7"/>
  <c r="E26" i="7"/>
  <c r="E25" i="7"/>
  <c r="E24" i="7"/>
  <c r="E23" i="7"/>
  <c r="E22" i="7"/>
  <c r="F10" i="7"/>
  <c r="G10" i="7" s="1"/>
  <c r="D11" i="7"/>
  <c r="C11" i="7"/>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F10" i="6"/>
  <c r="G10" i="6" s="1"/>
  <c r="E22" i="5"/>
  <c r="C11" i="5"/>
  <c r="D11" i="5" s="1"/>
  <c r="F10" i="5"/>
  <c r="G10" i="5" s="1"/>
  <c r="G10" i="3"/>
  <c r="C11" i="3"/>
  <c r="D11" i="3" s="1"/>
  <c r="C12" i="3" s="1"/>
  <c r="C12" i="2"/>
  <c r="C13" i="2" s="1"/>
  <c r="C14" i="2" s="1"/>
  <c r="C15" i="2" s="1"/>
  <c r="C16" i="2" s="1"/>
  <c r="C17" i="2" s="1"/>
  <c r="C18" i="2" s="1"/>
  <c r="C19" i="2" s="1"/>
  <c r="C20" i="2" s="1"/>
  <c r="C21" i="2" s="1"/>
  <c r="C22" i="2" s="1"/>
  <c r="C23" i="2" s="1"/>
  <c r="C24" i="2" s="1"/>
  <c r="C25" i="2" s="1"/>
  <c r="C26" i="2" s="1"/>
  <c r="C27" i="2" s="1"/>
  <c r="C28" i="2" s="1"/>
  <c r="C29" i="2" s="1"/>
  <c r="C30" i="2" s="1"/>
  <c r="C31" i="2" s="1"/>
  <c r="C32" i="2" s="1"/>
  <c r="C33" i="2" s="1"/>
  <c r="C34" i="2" s="1"/>
  <c r="C35" i="2" s="1"/>
  <c r="C36" i="2" s="1"/>
  <c r="C37" i="2" s="1"/>
  <c r="C38" i="2" s="1"/>
  <c r="C39" i="2" s="1"/>
  <c r="C40" i="2" s="1"/>
  <c r="C41" i="2" s="1"/>
  <c r="C42" i="2" s="1"/>
  <c r="C43" i="2" s="1"/>
  <c r="C44" i="2" s="1"/>
  <c r="C45" i="2" s="1"/>
  <c r="C46" i="2" s="1"/>
  <c r="C47" i="2" s="1"/>
  <c r="C48" i="2" s="1"/>
  <c r="C49" i="2" s="1"/>
  <c r="C50" i="2" s="1"/>
  <c r="C51" i="2" s="1"/>
  <c r="C52" i="2" s="1"/>
  <c r="C53" i="2" s="1"/>
  <c r="C54" i="2" s="1"/>
  <c r="C55" i="2" s="1"/>
  <c r="C56" i="2" s="1"/>
  <c r="C57" i="2" s="1"/>
  <c r="C58" i="2" s="1"/>
  <c r="C59" i="2" s="1"/>
  <c r="C60" i="2" s="1"/>
  <c r="C61" i="2" s="1"/>
  <c r="C62" i="2" s="1"/>
  <c r="C63" i="2" s="1"/>
  <c r="C64" i="2" s="1"/>
  <c r="C65" i="2" s="1"/>
  <c r="C66" i="2" s="1"/>
  <c r="C67" i="2" s="1"/>
  <c r="C68" i="2" s="1"/>
  <c r="C69" i="2" s="1"/>
  <c r="C70" i="2" s="1"/>
  <c r="C71" i="2" s="1"/>
  <c r="C72" i="2" s="1"/>
  <c r="C73" i="2" s="1"/>
  <c r="C74" i="2" s="1"/>
  <c r="C75" i="2" s="1"/>
  <c r="C76" i="2" s="1"/>
  <c r="C77" i="2" s="1"/>
  <c r="C78" i="2" s="1"/>
  <c r="C79" i="2" s="1"/>
  <c r="C80" i="2" s="1"/>
  <c r="C81" i="2" s="1"/>
  <c r="C82" i="2" s="1"/>
  <c r="C83" i="2" s="1"/>
  <c r="C84" i="2" s="1"/>
  <c r="C85" i="2" s="1"/>
  <c r="C86" i="2" s="1"/>
  <c r="C87" i="2" s="1"/>
  <c r="C88" i="2" s="1"/>
  <c r="C89" i="2" s="1"/>
  <c r="C90" i="2" s="1"/>
  <c r="C91" i="2" s="1"/>
  <c r="C92" i="2" s="1"/>
  <c r="C93" i="2" s="1"/>
  <c r="C94" i="2" s="1"/>
  <c r="C95" i="2" s="1"/>
  <c r="C96" i="2" s="1"/>
  <c r="C97" i="2" s="1"/>
  <c r="C98" i="2" s="1"/>
  <c r="C99" i="2" s="1"/>
  <c r="C100" i="2" s="1"/>
  <c r="C101" i="2" s="1"/>
  <c r="C102" i="2" s="1"/>
  <c r="C103" i="2" s="1"/>
  <c r="C104" i="2" s="1"/>
  <c r="C105" i="2" s="1"/>
  <c r="C106" i="2" s="1"/>
  <c r="C107" i="2" s="1"/>
  <c r="C108" i="2" s="1"/>
  <c r="C109" i="2" s="1"/>
  <c r="C110" i="2" s="1"/>
  <c r="C111" i="2" s="1"/>
  <c r="C112" i="2" s="1"/>
  <c r="C113" i="2" s="1"/>
  <c r="C114" i="2" s="1"/>
  <c r="C115" i="2" s="1"/>
  <c r="C116" i="2" s="1"/>
  <c r="C117" i="2" s="1"/>
  <c r="G117" i="2" s="1"/>
  <c r="C11" i="2"/>
  <c r="G11" i="2" s="1"/>
  <c r="E17" i="10" a="1"/>
  <c r="E14" i="10" a="1"/>
  <c r="E12" i="10" a="1"/>
  <c r="E16" i="10" a="1"/>
  <c r="D13" i="10" a="1"/>
  <c r="D16" i="10" a="1"/>
  <c r="D12" i="10" a="1"/>
  <c r="E15" i="10" a="1"/>
  <c r="E11" i="10" a="1"/>
  <c r="D14" i="10" a="1"/>
  <c r="D15" i="10" a="1"/>
  <c r="D11" i="10" a="1"/>
  <c r="D17" i="10" a="1"/>
  <c r="E13" i="10" a="1"/>
  <c r="E10" i="10" a="1"/>
  <c r="D10" i="10" a="1"/>
  <c r="F134" i="14" l="1"/>
  <c r="F119" i="14"/>
  <c r="F127" i="14"/>
  <c r="F135" i="14"/>
  <c r="F136" i="14"/>
  <c r="F137" i="14"/>
  <c r="F138" i="14"/>
  <c r="F133" i="14"/>
  <c r="F126" i="14"/>
  <c r="F120" i="14"/>
  <c r="F128" i="14"/>
  <c r="F121" i="14"/>
  <c r="F129" i="14"/>
  <c r="F122" i="14"/>
  <c r="F130" i="14"/>
  <c r="F123" i="14"/>
  <c r="F131" i="14"/>
  <c r="F139" i="14"/>
  <c r="F140" i="14"/>
  <c r="C122" i="14"/>
  <c r="C123" i="14" s="1"/>
  <c r="C124" i="14" s="1"/>
  <c r="C125" i="14" s="1"/>
  <c r="C126" i="14" s="1"/>
  <c r="C127" i="14" s="1"/>
  <c r="C128" i="14" s="1"/>
  <c r="C129" i="14" s="1"/>
  <c r="C130" i="14" s="1"/>
  <c r="C131" i="14" s="1"/>
  <c r="C132" i="14" s="1"/>
  <c r="C133" i="14" s="1"/>
  <c r="C134" i="14" s="1"/>
  <c r="C135" i="14" s="1"/>
  <c r="C136" i="14" s="1"/>
  <c r="C137" i="14" s="1"/>
  <c r="C138" i="14" s="1"/>
  <c r="C139" i="14" s="1"/>
  <c r="C140" i="14" s="1"/>
  <c r="C141" i="14" s="1"/>
  <c r="D12" i="14"/>
  <c r="E24" i="14" s="1"/>
  <c r="F11" i="14"/>
  <c r="G11" i="14" s="1"/>
  <c r="E14" i="10"/>
  <c r="E16" i="10"/>
  <c r="E13" i="10"/>
  <c r="E11" i="10"/>
  <c r="E15" i="10"/>
  <c r="E12" i="10"/>
  <c r="E17" i="10"/>
  <c r="E10" i="10"/>
  <c r="D14" i="10"/>
  <c r="D13" i="10"/>
  <c r="D17" i="10"/>
  <c r="D16" i="10"/>
  <c r="D12" i="10"/>
  <c r="D15" i="10"/>
  <c r="D11" i="10"/>
  <c r="D10" i="10"/>
  <c r="C13" i="12"/>
  <c r="D13" i="12" s="1"/>
  <c r="F11" i="12"/>
  <c r="G11" i="12" s="1"/>
  <c r="C12" i="9"/>
  <c r="G11" i="9"/>
  <c r="D12" i="9"/>
  <c r="F11" i="8"/>
  <c r="C13" i="8"/>
  <c r="D13" i="8" s="1"/>
  <c r="G11" i="8"/>
  <c r="C12" i="7"/>
  <c r="D12" i="7" s="1"/>
  <c r="C12" i="5"/>
  <c r="E23" i="5"/>
  <c r="G49" i="2"/>
  <c r="G89" i="2"/>
  <c r="G42" i="2"/>
  <c r="G58" i="2"/>
  <c r="G82" i="2"/>
  <c r="G106" i="2"/>
  <c r="G19" i="2"/>
  <c r="G27" i="2"/>
  <c r="G35" i="2"/>
  <c r="G43" i="2"/>
  <c r="G51" i="2"/>
  <c r="G59" i="2"/>
  <c r="G67" i="2"/>
  <c r="G75" i="2"/>
  <c r="G83" i="2"/>
  <c r="G91" i="2"/>
  <c r="G99" i="2"/>
  <c r="G107" i="2"/>
  <c r="G115" i="2"/>
  <c r="G57" i="2"/>
  <c r="G105" i="2"/>
  <c r="G26" i="2"/>
  <c r="G74" i="2"/>
  <c r="G114" i="2"/>
  <c r="G12" i="2"/>
  <c r="G20" i="2"/>
  <c r="G28" i="2"/>
  <c r="G36" i="2"/>
  <c r="G44" i="2"/>
  <c r="G52" i="2"/>
  <c r="G60" i="2"/>
  <c r="G68" i="2"/>
  <c r="G76" i="2"/>
  <c r="G84" i="2"/>
  <c r="G92" i="2"/>
  <c r="G100" i="2"/>
  <c r="G108" i="2"/>
  <c r="G116" i="2"/>
  <c r="G25" i="2"/>
  <c r="G65" i="2"/>
  <c r="G97" i="2"/>
  <c r="G34" i="2"/>
  <c r="G90" i="2"/>
  <c r="G29" i="2"/>
  <c r="G53" i="2"/>
  <c r="G77" i="2"/>
  <c r="G101" i="2"/>
  <c r="G14" i="2"/>
  <c r="G22" i="2"/>
  <c r="G30" i="2"/>
  <c r="G38" i="2"/>
  <c r="G46" i="2"/>
  <c r="G54" i="2"/>
  <c r="G62" i="2"/>
  <c r="G70" i="2"/>
  <c r="G78" i="2"/>
  <c r="G86" i="2"/>
  <c r="G94" i="2"/>
  <c r="G102" i="2"/>
  <c r="G110" i="2"/>
  <c r="G33" i="2"/>
  <c r="G81" i="2"/>
  <c r="G50" i="2"/>
  <c r="G66" i="2"/>
  <c r="G13" i="2"/>
  <c r="G37" i="2"/>
  <c r="G69" i="2"/>
  <c r="G93" i="2"/>
  <c r="G15" i="2"/>
  <c r="G23" i="2"/>
  <c r="G31" i="2"/>
  <c r="G39" i="2"/>
  <c r="G47" i="2"/>
  <c r="G55" i="2"/>
  <c r="G63" i="2"/>
  <c r="G71" i="2"/>
  <c r="G79" i="2"/>
  <c r="G87" i="2"/>
  <c r="G95" i="2"/>
  <c r="G103" i="2"/>
  <c r="G111" i="2"/>
  <c r="G17" i="2"/>
  <c r="G41" i="2"/>
  <c r="G73" i="2"/>
  <c r="G113" i="2"/>
  <c r="G18" i="2"/>
  <c r="G98" i="2"/>
  <c r="G21" i="2"/>
  <c r="G45" i="2"/>
  <c r="G61" i="2"/>
  <c r="G85" i="2"/>
  <c r="G109" i="2"/>
  <c r="G16" i="2"/>
  <c r="G24" i="2"/>
  <c r="G32" i="2"/>
  <c r="G40" i="2"/>
  <c r="G48" i="2"/>
  <c r="G56" i="2"/>
  <c r="G64" i="2"/>
  <c r="G72" i="2"/>
  <c r="G80" i="2"/>
  <c r="G88" i="2"/>
  <c r="G96" i="2"/>
  <c r="G104" i="2"/>
  <c r="G112" i="2"/>
  <c r="F11" i="6"/>
  <c r="G11" i="6" s="1"/>
  <c r="F13" i="6"/>
  <c r="G13" i="6" s="1"/>
  <c r="F12" i="6"/>
  <c r="G12" i="6" s="1"/>
  <c r="D12" i="3"/>
  <c r="C13" i="3" s="1"/>
  <c r="G11" i="3"/>
  <c r="F12" i="14" l="1"/>
  <c r="G12" i="14" s="1"/>
  <c r="C13" i="14"/>
  <c r="F12" i="12"/>
  <c r="G12" i="12" s="1"/>
  <c r="J10" i="2"/>
  <c r="C14" i="12"/>
  <c r="D14" i="12" s="1"/>
  <c r="C13" i="9"/>
  <c r="F12" i="9"/>
  <c r="G12" i="9" s="1"/>
  <c r="F12" i="8"/>
  <c r="G12" i="8" s="1"/>
  <c r="F11" i="7"/>
  <c r="G11" i="7"/>
  <c r="G12" i="3"/>
  <c r="F14" i="6"/>
  <c r="G14" i="6" s="1"/>
  <c r="F11" i="5"/>
  <c r="G11" i="5" s="1"/>
  <c r="D12" i="5"/>
  <c r="C13" i="5" s="1"/>
  <c r="D13" i="3"/>
  <c r="G13" i="3" s="1"/>
  <c r="D13" i="14" l="1"/>
  <c r="E25" i="14" s="1"/>
  <c r="F13" i="12"/>
  <c r="G13" i="12" s="1"/>
  <c r="D13" i="9"/>
  <c r="C14" i="8"/>
  <c r="D14" i="8" s="1"/>
  <c r="F13" i="8"/>
  <c r="G13" i="8" s="1"/>
  <c r="C13" i="7"/>
  <c r="D13" i="7" s="1"/>
  <c r="E24" i="5"/>
  <c r="F15" i="6"/>
  <c r="G15" i="6" s="1"/>
  <c r="F12" i="5"/>
  <c r="G12" i="5" s="1"/>
  <c r="C14" i="3"/>
  <c r="F13" i="14" l="1"/>
  <c r="G13" i="14" s="1"/>
  <c r="C14" i="14"/>
  <c r="C15" i="12"/>
  <c r="D15" i="12" s="1"/>
  <c r="C14" i="9"/>
  <c r="F13" i="9"/>
  <c r="G13" i="9" s="1"/>
  <c r="C15" i="8"/>
  <c r="D15" i="8" s="1"/>
  <c r="C14" i="7"/>
  <c r="D14" i="7" s="1"/>
  <c r="F12" i="7"/>
  <c r="G12" i="7" s="1"/>
  <c r="F13" i="7"/>
  <c r="G13" i="7" s="1"/>
  <c r="F16" i="6"/>
  <c r="G16" i="6" s="1"/>
  <c r="D13" i="5"/>
  <c r="D14" i="3"/>
  <c r="C15" i="3" s="1"/>
  <c r="D15" i="3" s="1"/>
  <c r="D14" i="14" l="1"/>
  <c r="E26" i="14" s="1"/>
  <c r="F14" i="12"/>
  <c r="G14" i="12" s="1"/>
  <c r="C16" i="12"/>
  <c r="D16" i="12" s="1"/>
  <c r="D14" i="9"/>
  <c r="C15" i="9" s="1"/>
  <c r="F14" i="8"/>
  <c r="G14" i="8"/>
  <c r="C14" i="5"/>
  <c r="E25" i="5"/>
  <c r="F17" i="6"/>
  <c r="G17" i="6" s="1"/>
  <c r="F13" i="5"/>
  <c r="G13" i="5" s="1"/>
  <c r="C16" i="3"/>
  <c r="D16" i="3" s="1"/>
  <c r="G15" i="3"/>
  <c r="G14" i="3"/>
  <c r="F14" i="14" l="1"/>
  <c r="G14" i="14" s="1"/>
  <c r="C15" i="14"/>
  <c r="F15" i="12"/>
  <c r="G15" i="12" s="1"/>
  <c r="F14" i="9"/>
  <c r="G14" i="9" s="1"/>
  <c r="C16" i="8"/>
  <c r="D16" i="8" s="1"/>
  <c r="F15" i="8"/>
  <c r="G15" i="8" s="1"/>
  <c r="C15" i="7"/>
  <c r="D15" i="7" s="1"/>
  <c r="F14" i="7"/>
  <c r="G14" i="7" s="1"/>
  <c r="C17" i="3"/>
  <c r="G16" i="3"/>
  <c r="F18" i="6"/>
  <c r="G18" i="6" s="1"/>
  <c r="D14" i="5"/>
  <c r="C15" i="5" s="1"/>
  <c r="D17" i="3"/>
  <c r="C18" i="3" s="1"/>
  <c r="D15" i="14" l="1"/>
  <c r="F15" i="14" s="1"/>
  <c r="G15" i="14" s="1"/>
  <c r="C16" i="14"/>
  <c r="D15" i="9"/>
  <c r="C16" i="9" s="1"/>
  <c r="C17" i="8"/>
  <c r="D17" i="8" s="1"/>
  <c r="C16" i="7"/>
  <c r="D16" i="7" s="1"/>
  <c r="E26" i="5"/>
  <c r="F19" i="6"/>
  <c r="G19" i="6" s="1"/>
  <c r="F14" i="5"/>
  <c r="G14" i="5" s="1"/>
  <c r="G17" i="3"/>
  <c r="D18" i="3"/>
  <c r="G18" i="3" s="1"/>
  <c r="D16" i="14" l="1"/>
  <c r="C17" i="14" s="1"/>
  <c r="E28" i="14"/>
  <c r="E27" i="14"/>
  <c r="F16" i="12"/>
  <c r="G16" i="12" s="1"/>
  <c r="C17" i="12"/>
  <c r="D17" i="12" s="1"/>
  <c r="D16" i="9"/>
  <c r="C17" i="9" s="1"/>
  <c r="F15" i="9"/>
  <c r="G15" i="9" s="1"/>
  <c r="F16" i="8"/>
  <c r="G16" i="8" s="1"/>
  <c r="C18" i="8"/>
  <c r="D18" i="8" s="1"/>
  <c r="C17" i="7"/>
  <c r="D17" i="7" s="1"/>
  <c r="F15" i="7"/>
  <c r="G15" i="7" s="1"/>
  <c r="F16" i="7"/>
  <c r="G16" i="7" s="1"/>
  <c r="F20" i="6"/>
  <c r="G20" i="6" s="1"/>
  <c r="D15" i="5"/>
  <c r="C19" i="3"/>
  <c r="D19" i="3" s="1"/>
  <c r="G19" i="3" s="1"/>
  <c r="D17" i="14" l="1"/>
  <c r="F17" i="14" s="1"/>
  <c r="G17" i="14" s="1"/>
  <c r="F16" i="14"/>
  <c r="G16" i="14" s="1"/>
  <c r="C18" i="12"/>
  <c r="D18" i="12" s="1"/>
  <c r="F17" i="12"/>
  <c r="G17" i="12"/>
  <c r="D17" i="9"/>
  <c r="C18" i="9" s="1"/>
  <c r="F16" i="9"/>
  <c r="G16" i="9" s="1"/>
  <c r="F17" i="8"/>
  <c r="G17" i="8" s="1"/>
  <c r="C19" i="8"/>
  <c r="D19" i="8" s="1"/>
  <c r="C18" i="7"/>
  <c r="D18" i="7" s="1"/>
  <c r="F17" i="7"/>
  <c r="G17" i="7" s="1"/>
  <c r="C16" i="5"/>
  <c r="E27" i="5"/>
  <c r="F21" i="6"/>
  <c r="G21" i="6" s="1"/>
  <c r="F15" i="5"/>
  <c r="G15" i="5" s="1"/>
  <c r="C20" i="3"/>
  <c r="D20" i="3" s="1"/>
  <c r="C21" i="3" s="1"/>
  <c r="C18" i="14" l="1"/>
  <c r="E29" i="14"/>
  <c r="C19" i="12"/>
  <c r="D19" i="12" s="1"/>
  <c r="F18" i="12"/>
  <c r="G18" i="12" s="1"/>
  <c r="F17" i="9"/>
  <c r="G17" i="9" s="1"/>
  <c r="D18" i="9"/>
  <c r="C19" i="9" s="1"/>
  <c r="F18" i="8"/>
  <c r="G18" i="8" s="1"/>
  <c r="C20" i="8"/>
  <c r="D20" i="8" s="1"/>
  <c r="F18" i="7"/>
  <c r="G18" i="7" s="1"/>
  <c r="F22" i="6"/>
  <c r="G22" i="6" s="1"/>
  <c r="D16" i="5"/>
  <c r="C17" i="5" s="1"/>
  <c r="G20" i="3"/>
  <c r="D21" i="3"/>
  <c r="C22" i="3" s="1"/>
  <c r="D18" i="14" l="1"/>
  <c r="F18" i="14" s="1"/>
  <c r="G18" i="14" s="1"/>
  <c r="C20" i="12"/>
  <c r="D20" i="12" s="1"/>
  <c r="F19" i="12"/>
  <c r="G19" i="12" s="1"/>
  <c r="F18" i="9"/>
  <c r="G18" i="9" s="1"/>
  <c r="D19" i="9"/>
  <c r="C20" i="9" s="1"/>
  <c r="F19" i="8"/>
  <c r="G19" i="8" s="1"/>
  <c r="C19" i="7"/>
  <c r="D19" i="7" s="1"/>
  <c r="E28" i="5"/>
  <c r="F23" i="6"/>
  <c r="G23" i="6" s="1"/>
  <c r="D17" i="5"/>
  <c r="F17" i="5" s="1"/>
  <c r="G17" i="5" s="1"/>
  <c r="F16" i="5"/>
  <c r="G16" i="5" s="1"/>
  <c r="D22" i="3"/>
  <c r="C23" i="3" s="1"/>
  <c r="G21" i="3"/>
  <c r="C19" i="14" l="1"/>
  <c r="E30" i="14"/>
  <c r="C21" i="12"/>
  <c r="D21" i="12" s="1"/>
  <c r="F20" i="12"/>
  <c r="G20" i="12" s="1"/>
  <c r="D20" i="9"/>
  <c r="C21" i="9" s="1"/>
  <c r="F19" i="9"/>
  <c r="G19" i="9" s="1"/>
  <c r="F20" i="8"/>
  <c r="C21" i="8"/>
  <c r="D21" i="8" s="1"/>
  <c r="G20" i="8"/>
  <c r="C20" i="7"/>
  <c r="D20" i="7" s="1"/>
  <c r="F19" i="7"/>
  <c r="G19" i="7" s="1"/>
  <c r="E29" i="5"/>
  <c r="F24" i="6"/>
  <c r="G24" i="6" s="1"/>
  <c r="C18" i="5"/>
  <c r="D23" i="3"/>
  <c r="C24" i="3" s="1"/>
  <c r="G22" i="3"/>
  <c r="D19" i="14" l="1"/>
  <c r="F19" i="14" s="1"/>
  <c r="G19" i="14" s="1"/>
  <c r="C22" i="12"/>
  <c r="D22" i="12" s="1"/>
  <c r="F20" i="9"/>
  <c r="G20" i="9" s="1"/>
  <c r="G23" i="3"/>
  <c r="F25" i="6"/>
  <c r="G25" i="6" s="1"/>
  <c r="D18" i="5"/>
  <c r="C19" i="5" s="1"/>
  <c r="D24" i="3"/>
  <c r="C25" i="3" s="1"/>
  <c r="C20" i="14" l="1"/>
  <c r="E31" i="14"/>
  <c r="F21" i="12"/>
  <c r="G21" i="12" s="1"/>
  <c r="C23" i="12"/>
  <c r="D23" i="12" s="1"/>
  <c r="D21" i="9"/>
  <c r="C22" i="9" s="1"/>
  <c r="F21" i="8"/>
  <c r="C22" i="8"/>
  <c r="D22" i="8" s="1"/>
  <c r="G21" i="8"/>
  <c r="F20" i="7"/>
  <c r="G20" i="7" s="1"/>
  <c r="C21" i="7"/>
  <c r="D21" i="7" s="1"/>
  <c r="E30" i="5"/>
  <c r="F26" i="6"/>
  <c r="G26" i="6" s="1"/>
  <c r="D19" i="5"/>
  <c r="F19" i="5" s="1"/>
  <c r="G19" i="5" s="1"/>
  <c r="F18" i="5"/>
  <c r="G18" i="5" s="1"/>
  <c r="D25" i="3"/>
  <c r="C26" i="3" s="1"/>
  <c r="G24" i="3"/>
  <c r="D20" i="14" l="1"/>
  <c r="C21" i="14" s="1"/>
  <c r="F22" i="12"/>
  <c r="F23" i="12"/>
  <c r="G23" i="12" s="1"/>
  <c r="G22" i="12"/>
  <c r="F21" i="9"/>
  <c r="G21" i="9" s="1"/>
  <c r="F22" i="8"/>
  <c r="C22" i="7"/>
  <c r="D22" i="7" s="1"/>
  <c r="E31" i="5"/>
  <c r="F27" i="6"/>
  <c r="G27" i="6" s="1"/>
  <c r="C20" i="5"/>
  <c r="D26" i="3"/>
  <c r="C27" i="3" s="1"/>
  <c r="G25" i="3"/>
  <c r="D21" i="14" l="1"/>
  <c r="F21" i="14" s="1"/>
  <c r="G21" i="14" s="1"/>
  <c r="E32" i="14"/>
  <c r="F20" i="14"/>
  <c r="G20" i="14" s="1"/>
  <c r="C24" i="12"/>
  <c r="D24" i="12" s="1"/>
  <c r="D22" i="9"/>
  <c r="C23" i="8"/>
  <c r="G22" i="8"/>
  <c r="F21" i="7"/>
  <c r="G21" i="7" s="1"/>
  <c r="C23" i="7"/>
  <c r="F28" i="6"/>
  <c r="G28" i="6" s="1"/>
  <c r="D20" i="5"/>
  <c r="C21" i="5" s="1"/>
  <c r="D27" i="3"/>
  <c r="C28" i="3" s="1"/>
  <c r="G26" i="3"/>
  <c r="C22" i="14" l="1"/>
  <c r="E33" i="14"/>
  <c r="C25" i="12"/>
  <c r="D25" i="12" s="1"/>
  <c r="F24" i="12"/>
  <c r="G24" i="12" s="1"/>
  <c r="F25" i="12"/>
  <c r="G25" i="12" s="1"/>
  <c r="C23" i="9"/>
  <c r="D23" i="9"/>
  <c r="F22" i="9"/>
  <c r="G22" i="9" s="1"/>
  <c r="D23" i="8"/>
  <c r="E35" i="8" s="1"/>
  <c r="C24" i="8"/>
  <c r="F23" i="8"/>
  <c r="G23" i="8" s="1"/>
  <c r="D23" i="7"/>
  <c r="E35" i="7" s="1"/>
  <c r="F22" i="7"/>
  <c r="G22" i="7" s="1"/>
  <c r="E32" i="5"/>
  <c r="F29" i="6"/>
  <c r="G29" i="6" s="1"/>
  <c r="F20" i="5"/>
  <c r="G20" i="5" s="1"/>
  <c r="D21" i="5"/>
  <c r="F21" i="5" s="1"/>
  <c r="G21" i="5" s="1"/>
  <c r="G27" i="3"/>
  <c r="D28" i="3"/>
  <c r="C29" i="3" s="1"/>
  <c r="D22" i="14" l="1"/>
  <c r="C23" i="14" s="1"/>
  <c r="C26" i="12"/>
  <c r="D26" i="12" s="1"/>
  <c r="E35" i="9"/>
  <c r="C24" i="9"/>
  <c r="D24" i="9" s="1"/>
  <c r="F24" i="9" s="1"/>
  <c r="F23" i="9"/>
  <c r="G23" i="9" s="1"/>
  <c r="D24" i="8"/>
  <c r="E36" i="8"/>
  <c r="F24" i="8"/>
  <c r="C24" i="7"/>
  <c r="F23" i="7"/>
  <c r="G23" i="7"/>
  <c r="E33" i="5"/>
  <c r="F30" i="6"/>
  <c r="G30" i="6" s="1"/>
  <c r="C22" i="5"/>
  <c r="D29" i="3"/>
  <c r="C30" i="3" s="1"/>
  <c r="G28" i="3"/>
  <c r="D23" i="14" l="1"/>
  <c r="E35" i="14"/>
  <c r="F23" i="14"/>
  <c r="G23" i="14" s="1"/>
  <c r="C24" i="14"/>
  <c r="F22" i="14"/>
  <c r="G22" i="14" s="1"/>
  <c r="E34" i="14"/>
  <c r="C27" i="12"/>
  <c r="D27" i="12" s="1"/>
  <c r="F27" i="12" s="1"/>
  <c r="G27" i="12" s="1"/>
  <c r="F26" i="12"/>
  <c r="G26" i="12" s="1"/>
  <c r="E36" i="9"/>
  <c r="C25" i="9"/>
  <c r="G24" i="9"/>
  <c r="C25" i="8"/>
  <c r="G24" i="8"/>
  <c r="D24" i="7"/>
  <c r="E36" i="7" s="1"/>
  <c r="C25" i="7"/>
  <c r="F31" i="6"/>
  <c r="G31" i="6" s="1"/>
  <c r="D22" i="5"/>
  <c r="C23" i="5" s="1"/>
  <c r="D30" i="3"/>
  <c r="C31" i="3" s="1"/>
  <c r="G30" i="3"/>
  <c r="G29" i="3"/>
  <c r="D24" i="14" l="1"/>
  <c r="E36" i="14" s="1"/>
  <c r="C28" i="12"/>
  <c r="D28" i="12" s="1"/>
  <c r="D25" i="9"/>
  <c r="E37" i="9" s="1"/>
  <c r="D25" i="8"/>
  <c r="C26" i="8" s="1"/>
  <c r="E37" i="8"/>
  <c r="F25" i="8"/>
  <c r="G25" i="8" s="1"/>
  <c r="D25" i="7"/>
  <c r="E37" i="7" s="1"/>
  <c r="F24" i="7"/>
  <c r="G24" i="7" s="1"/>
  <c r="E34" i="5"/>
  <c r="F32" i="6"/>
  <c r="G32" i="6" s="1"/>
  <c r="F22" i="5"/>
  <c r="G22" i="5" s="1"/>
  <c r="D23" i="5"/>
  <c r="C24" i="5" s="1"/>
  <c r="D31" i="3"/>
  <c r="C32" i="3" s="1"/>
  <c r="G31" i="3"/>
  <c r="C25" i="14" l="1"/>
  <c r="F24" i="14"/>
  <c r="G24" i="14" s="1"/>
  <c r="C29" i="12"/>
  <c r="F28" i="12"/>
  <c r="G28" i="12" s="1"/>
  <c r="F25" i="9"/>
  <c r="G25" i="9" s="1"/>
  <c r="C26" i="9"/>
  <c r="D26" i="8"/>
  <c r="E38" i="8"/>
  <c r="C26" i="7"/>
  <c r="F25" i="7"/>
  <c r="G25" i="7"/>
  <c r="F33" i="6"/>
  <c r="G33" i="6" s="1"/>
  <c r="E35" i="5"/>
  <c r="D24" i="5"/>
  <c r="F24" i="5" s="1"/>
  <c r="G24" i="5" s="1"/>
  <c r="F23" i="5"/>
  <c r="G23" i="5" s="1"/>
  <c r="D32" i="3"/>
  <c r="G32" i="3" s="1"/>
  <c r="D25" i="14" l="1"/>
  <c r="E37" i="14" s="1"/>
  <c r="C26" i="14"/>
  <c r="D29" i="12"/>
  <c r="F29" i="12" s="1"/>
  <c r="G29" i="12" s="1"/>
  <c r="D26" i="9"/>
  <c r="E38" i="9" s="1"/>
  <c r="C27" i="8"/>
  <c r="F26" i="8"/>
  <c r="G26" i="8" s="1"/>
  <c r="D26" i="7"/>
  <c r="E38" i="7" s="1"/>
  <c r="F34" i="6"/>
  <c r="G34" i="6" s="1"/>
  <c r="E36" i="5"/>
  <c r="C25" i="5"/>
  <c r="C33" i="3"/>
  <c r="D26" i="14" l="1"/>
  <c r="F26" i="14" s="1"/>
  <c r="G26" i="14" s="1"/>
  <c r="E38" i="14"/>
  <c r="C27" i="14"/>
  <c r="F25" i="14"/>
  <c r="G25" i="14" s="1"/>
  <c r="C30" i="12"/>
  <c r="D30" i="12" s="1"/>
  <c r="C31" i="12" s="1"/>
  <c r="F30" i="12"/>
  <c r="G30" i="12" s="1"/>
  <c r="C27" i="9"/>
  <c r="F26" i="9"/>
  <c r="G26" i="9" s="1"/>
  <c r="D27" i="8"/>
  <c r="E39" i="8"/>
  <c r="C28" i="8"/>
  <c r="F26" i="7"/>
  <c r="C27" i="7"/>
  <c r="G26" i="7"/>
  <c r="F35" i="6"/>
  <c r="G35" i="6" s="1"/>
  <c r="D25" i="5"/>
  <c r="F25" i="5" s="1"/>
  <c r="G25" i="5" s="1"/>
  <c r="C26" i="5"/>
  <c r="D33" i="3"/>
  <c r="C34" i="3" s="1"/>
  <c r="D27" i="14" l="1"/>
  <c r="E39" i="14" s="1"/>
  <c r="D31" i="12"/>
  <c r="F31" i="12" s="1"/>
  <c r="G31" i="12" s="1"/>
  <c r="D27" i="9"/>
  <c r="C28" i="9" s="1"/>
  <c r="F27" i="9"/>
  <c r="G27" i="9" s="1"/>
  <c r="D28" i="8"/>
  <c r="E40" i="8"/>
  <c r="F27" i="8"/>
  <c r="G27" i="8" s="1"/>
  <c r="C29" i="8"/>
  <c r="D27" i="7"/>
  <c r="E39" i="7" s="1"/>
  <c r="E37" i="5"/>
  <c r="F36" i="6"/>
  <c r="G36" i="6" s="1"/>
  <c r="D26" i="5"/>
  <c r="C27" i="5" s="1"/>
  <c r="D34" i="3"/>
  <c r="C35" i="3" s="1"/>
  <c r="G33" i="3"/>
  <c r="C28" i="14" l="1"/>
  <c r="F27" i="14"/>
  <c r="G27" i="14" s="1"/>
  <c r="C32" i="12"/>
  <c r="D32" i="12" s="1"/>
  <c r="C33" i="12" s="1"/>
  <c r="E39" i="9"/>
  <c r="D28" i="9"/>
  <c r="E40" i="9" s="1"/>
  <c r="D29" i="8"/>
  <c r="E41" i="8"/>
  <c r="F28" i="8"/>
  <c r="G28" i="8" s="1"/>
  <c r="F27" i="7"/>
  <c r="G27" i="7" s="1"/>
  <c r="C28" i="7"/>
  <c r="F37" i="6"/>
  <c r="G37" i="6" s="1"/>
  <c r="E38" i="5"/>
  <c r="D27" i="5"/>
  <c r="F27" i="5" s="1"/>
  <c r="G27" i="5" s="1"/>
  <c r="F26" i="5"/>
  <c r="G26" i="5" s="1"/>
  <c r="G34" i="3"/>
  <c r="D35" i="3"/>
  <c r="C36" i="3" s="1"/>
  <c r="D28" i="14" l="1"/>
  <c r="E40" i="14"/>
  <c r="F28" i="14"/>
  <c r="G28" i="14" s="1"/>
  <c r="C29" i="14"/>
  <c r="D33" i="12"/>
  <c r="F33" i="12" s="1"/>
  <c r="G33" i="12" s="1"/>
  <c r="F32" i="12"/>
  <c r="G32" i="12" s="1"/>
  <c r="C34" i="12"/>
  <c r="D34" i="12" s="1"/>
  <c r="F28" i="9"/>
  <c r="G28" i="9" s="1"/>
  <c r="C29" i="9"/>
  <c r="D28" i="7"/>
  <c r="E40" i="7"/>
  <c r="F28" i="7"/>
  <c r="G28" i="7" s="1"/>
  <c r="C29" i="7"/>
  <c r="F38" i="6"/>
  <c r="G38" i="6" s="1"/>
  <c r="E39" i="5"/>
  <c r="C28" i="5"/>
  <c r="G35" i="3"/>
  <c r="D36" i="3"/>
  <c r="C37" i="3" s="1"/>
  <c r="D29" i="14" l="1"/>
  <c r="F29" i="14" s="1"/>
  <c r="G29" i="14" s="1"/>
  <c r="C30" i="14"/>
  <c r="C35" i="12"/>
  <c r="D35" i="12" s="1"/>
  <c r="F34" i="12"/>
  <c r="G34" i="12" s="1"/>
  <c r="F35" i="12"/>
  <c r="G35" i="12" s="1"/>
  <c r="D29" i="9"/>
  <c r="E41" i="9" s="1"/>
  <c r="C30" i="8"/>
  <c r="F29" i="8"/>
  <c r="G29" i="8" s="1"/>
  <c r="D29" i="7"/>
  <c r="E41" i="7" s="1"/>
  <c r="F39" i="6"/>
  <c r="G39" i="6" s="1"/>
  <c r="D28" i="5"/>
  <c r="C29" i="5" s="1"/>
  <c r="G36" i="3"/>
  <c r="D37" i="3"/>
  <c r="C38" i="3" s="1"/>
  <c r="E41" i="14" l="1"/>
  <c r="D30" i="14"/>
  <c r="E42" i="14" s="1"/>
  <c r="C36" i="12"/>
  <c r="D36" i="12" s="1"/>
  <c r="F29" i="9"/>
  <c r="G29" i="9" s="1"/>
  <c r="C30" i="9"/>
  <c r="D30" i="8"/>
  <c r="E42" i="8"/>
  <c r="C31" i="8"/>
  <c r="F30" i="8"/>
  <c r="G30" i="8" s="1"/>
  <c r="F29" i="7"/>
  <c r="G29" i="7" s="1"/>
  <c r="C30" i="7"/>
  <c r="F40" i="6"/>
  <c r="G40" i="6" s="1"/>
  <c r="E40" i="5"/>
  <c r="F28" i="5"/>
  <c r="G28" i="5" s="1"/>
  <c r="D29" i="5"/>
  <c r="F29" i="5" s="1"/>
  <c r="G29" i="5" s="1"/>
  <c r="G37" i="3"/>
  <c r="D38" i="3"/>
  <c r="C39" i="3" s="1"/>
  <c r="C31" i="14" l="1"/>
  <c r="F30" i="14"/>
  <c r="G30" i="14" s="1"/>
  <c r="C37" i="12"/>
  <c r="F36" i="12"/>
  <c r="G36" i="12" s="1"/>
  <c r="D30" i="9"/>
  <c r="E42" i="9" s="1"/>
  <c r="D31" i="8"/>
  <c r="E43" i="8" s="1"/>
  <c r="D30" i="7"/>
  <c r="F30" i="7" s="1"/>
  <c r="G30" i="7" s="1"/>
  <c r="E42" i="7"/>
  <c r="C31" i="7"/>
  <c r="F41" i="6"/>
  <c r="G41" i="6" s="1"/>
  <c r="E41" i="5"/>
  <c r="C30" i="5"/>
  <c r="G38" i="3"/>
  <c r="D39" i="3"/>
  <c r="C40" i="3" s="1"/>
  <c r="D31" i="14" l="1"/>
  <c r="E43" i="14"/>
  <c r="F31" i="14"/>
  <c r="G31" i="14" s="1"/>
  <c r="C32" i="14"/>
  <c r="F37" i="12"/>
  <c r="G37" i="12" s="1"/>
  <c r="D37" i="12"/>
  <c r="C38" i="12" s="1"/>
  <c r="D38" i="12" s="1"/>
  <c r="F30" i="9"/>
  <c r="G30" i="9" s="1"/>
  <c r="C31" i="9"/>
  <c r="C32" i="8"/>
  <c r="F31" i="8"/>
  <c r="G31" i="8" s="1"/>
  <c r="D31" i="7"/>
  <c r="E43" i="7"/>
  <c r="C32" i="7"/>
  <c r="F31" i="7"/>
  <c r="G31" i="7" s="1"/>
  <c r="F42" i="6"/>
  <c r="G42" i="6" s="1"/>
  <c r="D30" i="5"/>
  <c r="C31" i="5" s="1"/>
  <c r="G39" i="3"/>
  <c r="D40" i="3"/>
  <c r="C41" i="3" s="1"/>
  <c r="D32" i="14" l="1"/>
  <c r="F32" i="14" s="1"/>
  <c r="G32" i="14" s="1"/>
  <c r="E44" i="14"/>
  <c r="C33" i="14"/>
  <c r="C39" i="12"/>
  <c r="D39" i="12" s="1"/>
  <c r="F39" i="12" s="1"/>
  <c r="G39" i="12" s="1"/>
  <c r="F38" i="12"/>
  <c r="G38" i="12"/>
  <c r="D31" i="9"/>
  <c r="E43" i="9" s="1"/>
  <c r="D32" i="8"/>
  <c r="E44" i="8" s="1"/>
  <c r="C33" i="8"/>
  <c r="F32" i="8"/>
  <c r="G32" i="8" s="1"/>
  <c r="D32" i="7"/>
  <c r="E44" i="7" s="1"/>
  <c r="F43" i="6"/>
  <c r="G43" i="6" s="1"/>
  <c r="E42" i="5"/>
  <c r="D31" i="5"/>
  <c r="F31" i="5" s="1"/>
  <c r="G31" i="5" s="1"/>
  <c r="F30" i="5"/>
  <c r="G30" i="5" s="1"/>
  <c r="G40" i="3"/>
  <c r="D41" i="3"/>
  <c r="C42" i="3" s="1"/>
  <c r="D33" i="14" l="1"/>
  <c r="E45" i="14" s="1"/>
  <c r="C40" i="12"/>
  <c r="D40" i="12" s="1"/>
  <c r="F31" i="9"/>
  <c r="G31" i="9" s="1"/>
  <c r="C32" i="9"/>
  <c r="D33" i="8"/>
  <c r="E45" i="8"/>
  <c r="F33" i="8"/>
  <c r="C33" i="7"/>
  <c r="F32" i="7"/>
  <c r="G32" i="7" s="1"/>
  <c r="F44" i="6"/>
  <c r="G44" i="6" s="1"/>
  <c r="E43" i="5"/>
  <c r="C32" i="5"/>
  <c r="G41" i="3"/>
  <c r="D42" i="3"/>
  <c r="C43" i="3" s="1"/>
  <c r="F33" i="14" l="1"/>
  <c r="G33" i="14" s="1"/>
  <c r="C34" i="14"/>
  <c r="C41" i="12"/>
  <c r="F40" i="12"/>
  <c r="G40" i="12" s="1"/>
  <c r="D32" i="9"/>
  <c r="C33" i="9" s="1"/>
  <c r="C34" i="8"/>
  <c r="G33" i="8"/>
  <c r="D33" i="7"/>
  <c r="C34" i="7" s="1"/>
  <c r="F45" i="6"/>
  <c r="G45" i="6" s="1"/>
  <c r="D32" i="5"/>
  <c r="C33" i="5" s="1"/>
  <c r="G42" i="3"/>
  <c r="D43" i="3"/>
  <c r="C44" i="3" s="1"/>
  <c r="D34" i="14" l="1"/>
  <c r="F34" i="14" s="1"/>
  <c r="G34" i="14" s="1"/>
  <c r="C35" i="14"/>
  <c r="D41" i="12"/>
  <c r="F41" i="12" s="1"/>
  <c r="G41" i="12" s="1"/>
  <c r="C42" i="12"/>
  <c r="D42" i="12" s="1"/>
  <c r="F32" i="9"/>
  <c r="G32" i="9" s="1"/>
  <c r="E44" i="9"/>
  <c r="D33" i="9"/>
  <c r="E45" i="9" s="1"/>
  <c r="D34" i="8"/>
  <c r="E46" i="8"/>
  <c r="E45" i="7"/>
  <c r="F33" i="7"/>
  <c r="G33" i="7" s="1"/>
  <c r="D34" i="7"/>
  <c r="E46" i="7" s="1"/>
  <c r="F46" i="6"/>
  <c r="G46" i="6" s="1"/>
  <c r="E44" i="5"/>
  <c r="D33" i="5"/>
  <c r="C34" i="5" s="1"/>
  <c r="F32" i="5"/>
  <c r="G32" i="5" s="1"/>
  <c r="G43" i="3"/>
  <c r="D44" i="3"/>
  <c r="C45" i="3" s="1"/>
  <c r="D35" i="14" l="1"/>
  <c r="E47" i="14" s="1"/>
  <c r="E46" i="14"/>
  <c r="C43" i="12"/>
  <c r="F42" i="12"/>
  <c r="G42" i="12" s="1"/>
  <c r="F33" i="9"/>
  <c r="G33" i="9" s="1"/>
  <c r="C34" i="9"/>
  <c r="F34" i="8"/>
  <c r="G34" i="8" s="1"/>
  <c r="C35" i="8"/>
  <c r="C35" i="7"/>
  <c r="F34" i="7"/>
  <c r="G34" i="7" s="1"/>
  <c r="G44" i="3"/>
  <c r="F47" i="6"/>
  <c r="G47" i="6" s="1"/>
  <c r="E45" i="5"/>
  <c r="D34" i="5"/>
  <c r="C35" i="5" s="1"/>
  <c r="F33" i="5"/>
  <c r="G33" i="5" s="1"/>
  <c r="D45" i="3"/>
  <c r="C46" i="3" s="1"/>
  <c r="F35" i="14" l="1"/>
  <c r="G35" i="14" s="1"/>
  <c r="C36" i="14"/>
  <c r="D43" i="12"/>
  <c r="F43" i="12" s="1"/>
  <c r="G43" i="12" s="1"/>
  <c r="D34" i="9"/>
  <c r="E46" i="9" s="1"/>
  <c r="D35" i="8"/>
  <c r="E47" i="8"/>
  <c r="F35" i="8"/>
  <c r="G35" i="8" s="1"/>
  <c r="D35" i="7"/>
  <c r="E47" i="7" s="1"/>
  <c r="C36" i="7"/>
  <c r="G45" i="3"/>
  <c r="F48" i="6"/>
  <c r="G48" i="6" s="1"/>
  <c r="E46" i="5"/>
  <c r="D35" i="5"/>
  <c r="F35" i="5" s="1"/>
  <c r="G35" i="5" s="1"/>
  <c r="F34" i="5"/>
  <c r="G34" i="5" s="1"/>
  <c r="D46" i="3"/>
  <c r="C47" i="3" s="1"/>
  <c r="D36" i="14" l="1"/>
  <c r="E48" i="14"/>
  <c r="F36" i="14"/>
  <c r="G36" i="14" s="1"/>
  <c r="C37" i="14"/>
  <c r="C44" i="12"/>
  <c r="D44" i="12" s="1"/>
  <c r="F44" i="12" s="1"/>
  <c r="G44" i="12" s="1"/>
  <c r="F34" i="9"/>
  <c r="G34" i="9" s="1"/>
  <c r="C35" i="9"/>
  <c r="C36" i="8"/>
  <c r="D36" i="7"/>
  <c r="E48" i="7" s="1"/>
  <c r="F35" i="7"/>
  <c r="G35" i="7" s="1"/>
  <c r="G46" i="3"/>
  <c r="F49" i="6"/>
  <c r="G49" i="6" s="1"/>
  <c r="E47" i="5"/>
  <c r="C36" i="5"/>
  <c r="D47" i="3"/>
  <c r="C48" i="3" s="1"/>
  <c r="D37" i="14" l="1"/>
  <c r="E49" i="14" s="1"/>
  <c r="C38" i="14"/>
  <c r="C45" i="12"/>
  <c r="D35" i="9"/>
  <c r="C36" i="9" s="1"/>
  <c r="D36" i="8"/>
  <c r="E48" i="8"/>
  <c r="F36" i="8"/>
  <c r="G36" i="8" s="1"/>
  <c r="F50" i="6"/>
  <c r="G50" i="6" s="1"/>
  <c r="D36" i="5"/>
  <c r="C37" i="5" s="1"/>
  <c r="D48" i="3"/>
  <c r="C49" i="3" s="1"/>
  <c r="G47" i="3"/>
  <c r="D38" i="14" l="1"/>
  <c r="F38" i="14" s="1"/>
  <c r="G38" i="14" s="1"/>
  <c r="F37" i="14"/>
  <c r="G37" i="14" s="1"/>
  <c r="D45" i="12"/>
  <c r="C46" i="12" s="1"/>
  <c r="E47" i="9"/>
  <c r="D36" i="9"/>
  <c r="E48" i="9" s="1"/>
  <c r="F35" i="9"/>
  <c r="G35" i="9" s="1"/>
  <c r="C37" i="8"/>
  <c r="C37" i="7"/>
  <c r="F36" i="7"/>
  <c r="G36" i="7" s="1"/>
  <c r="F51" i="6"/>
  <c r="G51" i="6" s="1"/>
  <c r="E48" i="5"/>
  <c r="F36" i="5"/>
  <c r="G36" i="5" s="1"/>
  <c r="D37" i="5"/>
  <c r="F37" i="5" s="1"/>
  <c r="G37" i="5" s="1"/>
  <c r="G48" i="3"/>
  <c r="D49" i="3"/>
  <c r="C50" i="3" s="1"/>
  <c r="C39" i="14" l="1"/>
  <c r="E50" i="14"/>
  <c r="D46" i="12"/>
  <c r="C47" i="12" s="1"/>
  <c r="F46" i="12"/>
  <c r="G46" i="12" s="1"/>
  <c r="F45" i="12"/>
  <c r="G45" i="12" s="1"/>
  <c r="F36" i="9"/>
  <c r="G36" i="9" s="1"/>
  <c r="C37" i="9"/>
  <c r="D37" i="8"/>
  <c r="E49" i="8"/>
  <c r="F37" i="8"/>
  <c r="G37" i="8" s="1"/>
  <c r="D37" i="7"/>
  <c r="E49" i="7" s="1"/>
  <c r="C38" i="7"/>
  <c r="F37" i="7"/>
  <c r="G37" i="7" s="1"/>
  <c r="F52" i="6"/>
  <c r="G52" i="6" s="1"/>
  <c r="E49" i="5"/>
  <c r="C38" i="5"/>
  <c r="G49" i="3"/>
  <c r="D50" i="3"/>
  <c r="C51" i="3" s="1"/>
  <c r="D39" i="14" l="1"/>
  <c r="E51" i="14" s="1"/>
  <c r="C40" i="14"/>
  <c r="D47" i="12"/>
  <c r="F47" i="12"/>
  <c r="G47" i="12" s="1"/>
  <c r="C48" i="12"/>
  <c r="D48" i="12" s="1"/>
  <c r="F48" i="12" s="1"/>
  <c r="G48" i="12" s="1"/>
  <c r="D37" i="9"/>
  <c r="C38" i="9" s="1"/>
  <c r="C38" i="8"/>
  <c r="D38" i="7"/>
  <c r="E50" i="7" s="1"/>
  <c r="F53" i="6"/>
  <c r="G53" i="6" s="1"/>
  <c r="D38" i="5"/>
  <c r="C39" i="5" s="1"/>
  <c r="G50" i="3"/>
  <c r="D51" i="3"/>
  <c r="C52" i="3" s="1"/>
  <c r="G51" i="3"/>
  <c r="D40" i="14" l="1"/>
  <c r="F40" i="14" s="1"/>
  <c r="G40" i="14" s="1"/>
  <c r="E52" i="14"/>
  <c r="C41" i="14"/>
  <c r="F39" i="14"/>
  <c r="G39" i="14" s="1"/>
  <c r="C49" i="12"/>
  <c r="E49" i="9"/>
  <c r="F37" i="9"/>
  <c r="G37" i="9" s="1"/>
  <c r="D38" i="9"/>
  <c r="E50" i="9" s="1"/>
  <c r="D38" i="8"/>
  <c r="E50" i="8" s="1"/>
  <c r="C39" i="8"/>
  <c r="F38" i="8"/>
  <c r="G38" i="8" s="1"/>
  <c r="C39" i="7"/>
  <c r="F38" i="7"/>
  <c r="G38" i="7" s="1"/>
  <c r="F54" i="6"/>
  <c r="G54" i="6" s="1"/>
  <c r="E50" i="5"/>
  <c r="F38" i="5"/>
  <c r="G38" i="5" s="1"/>
  <c r="D39" i="5"/>
  <c r="F39" i="5" s="1"/>
  <c r="G39" i="5" s="1"/>
  <c r="D52" i="3"/>
  <c r="C53" i="3" s="1"/>
  <c r="D41" i="14" l="1"/>
  <c r="E53" i="14" s="1"/>
  <c r="D49" i="12"/>
  <c r="C50" i="12" s="1"/>
  <c r="D50" i="12" s="1"/>
  <c r="C51" i="12" s="1"/>
  <c r="D51" i="12" s="1"/>
  <c r="F38" i="9"/>
  <c r="G38" i="9" s="1"/>
  <c r="C39" i="9"/>
  <c r="D39" i="8"/>
  <c r="E51" i="8"/>
  <c r="D39" i="7"/>
  <c r="E51" i="7" s="1"/>
  <c r="F55" i="6"/>
  <c r="G55" i="6" s="1"/>
  <c r="E51" i="5"/>
  <c r="C40" i="5"/>
  <c r="G52" i="3"/>
  <c r="D53" i="3"/>
  <c r="C54" i="3" s="1"/>
  <c r="C42" i="14" l="1"/>
  <c r="F41" i="14"/>
  <c r="G41" i="14" s="1"/>
  <c r="F50" i="12"/>
  <c r="G50" i="12" s="1"/>
  <c r="F49" i="12"/>
  <c r="G49" i="12" s="1"/>
  <c r="F51" i="12"/>
  <c r="G51" i="12" s="1"/>
  <c r="D39" i="9"/>
  <c r="E51" i="9" s="1"/>
  <c r="F39" i="8"/>
  <c r="G39" i="8" s="1"/>
  <c r="C40" i="8"/>
  <c r="C40" i="7"/>
  <c r="F39" i="7"/>
  <c r="G39" i="7" s="1"/>
  <c r="F56" i="6"/>
  <c r="G56" i="6" s="1"/>
  <c r="D40" i="5"/>
  <c r="C41" i="5" s="1"/>
  <c r="G53" i="3"/>
  <c r="D54" i="3"/>
  <c r="C55" i="3" s="1"/>
  <c r="D42" i="14" l="1"/>
  <c r="F42" i="14" s="1"/>
  <c r="G42" i="14" s="1"/>
  <c r="E54" i="14"/>
  <c r="C43" i="14"/>
  <c r="C52" i="12"/>
  <c r="D52" i="12" s="1"/>
  <c r="F39" i="9"/>
  <c r="G39" i="9" s="1"/>
  <c r="C40" i="9"/>
  <c r="D40" i="8"/>
  <c r="E52" i="8"/>
  <c r="F40" i="8"/>
  <c r="G40" i="8" s="1"/>
  <c r="D40" i="7"/>
  <c r="E52" i="7" s="1"/>
  <c r="C41" i="7"/>
  <c r="F40" i="7"/>
  <c r="G40" i="7" s="1"/>
  <c r="G54" i="3"/>
  <c r="F57" i="6"/>
  <c r="G57" i="6" s="1"/>
  <c r="E52" i="5"/>
  <c r="D41" i="5"/>
  <c r="F41" i="5" s="1"/>
  <c r="G41" i="5" s="1"/>
  <c r="F40" i="5"/>
  <c r="G40" i="5" s="1"/>
  <c r="D55" i="3"/>
  <c r="C56" i="3" s="1"/>
  <c r="D43" i="14" l="1"/>
  <c r="E55" i="14" s="1"/>
  <c r="C44" i="14"/>
  <c r="F52" i="12"/>
  <c r="G52" i="12" s="1"/>
  <c r="D40" i="9"/>
  <c r="C41" i="9" s="1"/>
  <c r="C41" i="8"/>
  <c r="D41" i="7"/>
  <c r="E53" i="7" s="1"/>
  <c r="F58" i="6"/>
  <c r="G58" i="6" s="1"/>
  <c r="E53" i="5"/>
  <c r="C42" i="5"/>
  <c r="G55" i="3"/>
  <c r="D56" i="3"/>
  <c r="C57" i="3" s="1"/>
  <c r="D44" i="14" l="1"/>
  <c r="E56" i="14" s="1"/>
  <c r="F44" i="14"/>
  <c r="G44" i="14" s="1"/>
  <c r="C45" i="14"/>
  <c r="F43" i="14"/>
  <c r="G43" i="14" s="1"/>
  <c r="C53" i="12"/>
  <c r="D53" i="12" s="1"/>
  <c r="E52" i="9"/>
  <c r="D41" i="9"/>
  <c r="E53" i="9" s="1"/>
  <c r="F40" i="9"/>
  <c r="G40" i="9" s="1"/>
  <c r="D41" i="8"/>
  <c r="E53" i="8" s="1"/>
  <c r="C42" i="8"/>
  <c r="F41" i="7"/>
  <c r="G41" i="7" s="1"/>
  <c r="C42" i="7"/>
  <c r="F59" i="6"/>
  <c r="G59" i="6" s="1"/>
  <c r="D42" i="5"/>
  <c r="C43" i="5" s="1"/>
  <c r="G56" i="3"/>
  <c r="D57" i="3"/>
  <c r="C58" i="3" s="1"/>
  <c r="D45" i="14" l="1"/>
  <c r="F45" i="14" s="1"/>
  <c r="G45" i="14" s="1"/>
  <c r="E57" i="14"/>
  <c r="C46" i="14"/>
  <c r="F53" i="12"/>
  <c r="G53" i="12" s="1"/>
  <c r="F41" i="9"/>
  <c r="G41" i="9" s="1"/>
  <c r="C42" i="9"/>
  <c r="D42" i="8"/>
  <c r="E54" i="8"/>
  <c r="F41" i="8"/>
  <c r="G41" i="8" s="1"/>
  <c r="D42" i="7"/>
  <c r="E54" i="7" s="1"/>
  <c r="C43" i="7"/>
  <c r="F42" i="7"/>
  <c r="G42" i="7" s="1"/>
  <c r="F60" i="6"/>
  <c r="G60" i="6" s="1"/>
  <c r="E54" i="5"/>
  <c r="F42" i="5"/>
  <c r="G42" i="5" s="1"/>
  <c r="D43" i="5"/>
  <c r="F43" i="5" s="1"/>
  <c r="G43" i="5" s="1"/>
  <c r="G57" i="3"/>
  <c r="D58" i="3"/>
  <c r="C59" i="3" s="1"/>
  <c r="D46" i="14" l="1"/>
  <c r="E58" i="14" s="1"/>
  <c r="C54" i="12"/>
  <c r="D54" i="12" s="1"/>
  <c r="D42" i="9"/>
  <c r="C43" i="9" s="1"/>
  <c r="F42" i="9"/>
  <c r="G42" i="9" s="1"/>
  <c r="F42" i="8"/>
  <c r="G42" i="8" s="1"/>
  <c r="C43" i="8"/>
  <c r="D43" i="7"/>
  <c r="E55" i="7" s="1"/>
  <c r="C44" i="7"/>
  <c r="F61" i="6"/>
  <c r="G61" i="6" s="1"/>
  <c r="E55" i="5"/>
  <c r="C44" i="5"/>
  <c r="G58" i="3"/>
  <c r="D59" i="3"/>
  <c r="C60" i="3" s="1"/>
  <c r="F46" i="14" l="1"/>
  <c r="G46" i="14" s="1"/>
  <c r="C47" i="14"/>
  <c r="C55" i="12"/>
  <c r="D55" i="12" s="1"/>
  <c r="F54" i="12"/>
  <c r="G54" i="12" s="1"/>
  <c r="E54" i="9"/>
  <c r="D43" i="9"/>
  <c r="C44" i="9" s="1"/>
  <c r="D43" i="8"/>
  <c r="E55" i="8"/>
  <c r="C44" i="8"/>
  <c r="D44" i="7"/>
  <c r="E56" i="7" s="1"/>
  <c r="F43" i="7"/>
  <c r="G43" i="7" s="1"/>
  <c r="F62" i="6"/>
  <c r="G62" i="6" s="1"/>
  <c r="D44" i="5"/>
  <c r="C45" i="5" s="1"/>
  <c r="G59" i="3"/>
  <c r="D60" i="3"/>
  <c r="C61" i="3" s="1"/>
  <c r="D47" i="14" l="1"/>
  <c r="E59" i="14"/>
  <c r="F47" i="14"/>
  <c r="G47" i="14" s="1"/>
  <c r="C48" i="14"/>
  <c r="F55" i="12"/>
  <c r="G55" i="12" s="1"/>
  <c r="E55" i="9"/>
  <c r="D44" i="9"/>
  <c r="C45" i="9" s="1"/>
  <c r="F44" i="9"/>
  <c r="G44" i="9" s="1"/>
  <c r="F43" i="9"/>
  <c r="G43" i="9" s="1"/>
  <c r="D44" i="8"/>
  <c r="E56" i="8"/>
  <c r="F43" i="8"/>
  <c r="G43" i="8" s="1"/>
  <c r="F63" i="6"/>
  <c r="G63" i="6" s="1"/>
  <c r="E56" i="5"/>
  <c r="F44" i="5"/>
  <c r="G44" i="5" s="1"/>
  <c r="D45" i="5"/>
  <c r="C46" i="5" s="1"/>
  <c r="G60" i="3"/>
  <c r="D61" i="3"/>
  <c r="C62" i="3" s="1"/>
  <c r="D48" i="14" l="1"/>
  <c r="E60" i="14" s="1"/>
  <c r="C56" i="12"/>
  <c r="D56" i="12" s="1"/>
  <c r="E56" i="9"/>
  <c r="D45" i="9"/>
  <c r="E57" i="9" s="1"/>
  <c r="F44" i="8"/>
  <c r="G44" i="8" s="1"/>
  <c r="C45" i="8"/>
  <c r="C45" i="7"/>
  <c r="F44" i="7"/>
  <c r="G44" i="7" s="1"/>
  <c r="F64" i="6"/>
  <c r="G64" i="6" s="1"/>
  <c r="E57" i="5"/>
  <c r="F45" i="5"/>
  <c r="G45" i="5" s="1"/>
  <c r="D46" i="5"/>
  <c r="C47" i="5" s="1"/>
  <c r="G61" i="3"/>
  <c r="D62" i="3"/>
  <c r="C63" i="3" s="1"/>
  <c r="C49" i="14" l="1"/>
  <c r="F48" i="14"/>
  <c r="G48" i="14" s="1"/>
  <c r="C57" i="12"/>
  <c r="D57" i="12" s="1"/>
  <c r="F45" i="9"/>
  <c r="G45" i="9" s="1"/>
  <c r="C46" i="9"/>
  <c r="D45" i="8"/>
  <c r="E57" i="8"/>
  <c r="C46" i="8"/>
  <c r="D45" i="7"/>
  <c r="E57" i="7" s="1"/>
  <c r="G62" i="3"/>
  <c r="F65" i="6"/>
  <c r="G65" i="6" s="1"/>
  <c r="E58" i="5"/>
  <c r="F46" i="5"/>
  <c r="G46" i="5" s="1"/>
  <c r="D47" i="5"/>
  <c r="F47" i="5" s="1"/>
  <c r="G47" i="5" s="1"/>
  <c r="D63" i="3"/>
  <c r="C64" i="3" s="1"/>
  <c r="D49" i="14" l="1"/>
  <c r="E61" i="14" s="1"/>
  <c r="F56" i="12"/>
  <c r="G56" i="12" s="1"/>
  <c r="F57" i="12"/>
  <c r="G57" i="12" s="1"/>
  <c r="D46" i="9"/>
  <c r="E58" i="9" s="1"/>
  <c r="D46" i="8"/>
  <c r="E58" i="8" s="1"/>
  <c r="F45" i="8"/>
  <c r="G45" i="8" s="1"/>
  <c r="F46" i="8"/>
  <c r="G46" i="8" s="1"/>
  <c r="F45" i="7"/>
  <c r="G45" i="7" s="1"/>
  <c r="C46" i="7"/>
  <c r="F66" i="6"/>
  <c r="G66" i="6" s="1"/>
  <c r="E59" i="5"/>
  <c r="C48" i="5"/>
  <c r="G63" i="3"/>
  <c r="D64" i="3"/>
  <c r="C65" i="3" s="1"/>
  <c r="F49" i="14" l="1"/>
  <c r="G49" i="14" s="1"/>
  <c r="C50" i="14"/>
  <c r="C58" i="12"/>
  <c r="D58" i="12" s="1"/>
  <c r="F46" i="9"/>
  <c r="G46" i="9" s="1"/>
  <c r="C47" i="9"/>
  <c r="C47" i="8"/>
  <c r="D46" i="7"/>
  <c r="E58" i="7" s="1"/>
  <c r="F67" i="6"/>
  <c r="G67" i="6" s="1"/>
  <c r="D48" i="5"/>
  <c r="C49" i="5" s="1"/>
  <c r="G64" i="3"/>
  <c r="D65" i="3"/>
  <c r="C66" i="3" s="1"/>
  <c r="D50" i="14" l="1"/>
  <c r="F50" i="14" s="1"/>
  <c r="G50" i="14" s="1"/>
  <c r="C51" i="14"/>
  <c r="C59" i="12"/>
  <c r="D59" i="12" s="1"/>
  <c r="D47" i="9"/>
  <c r="C48" i="9" s="1"/>
  <c r="D47" i="8"/>
  <c r="E59" i="8"/>
  <c r="C48" i="8"/>
  <c r="F46" i="7"/>
  <c r="G46" i="7" s="1"/>
  <c r="C47" i="7"/>
  <c r="F68" i="6"/>
  <c r="G68" i="6" s="1"/>
  <c r="E60" i="5"/>
  <c r="F48" i="5"/>
  <c r="G48" i="5" s="1"/>
  <c r="D49" i="5"/>
  <c r="F49" i="5" s="1"/>
  <c r="G49" i="5" s="1"/>
  <c r="G65" i="3"/>
  <c r="D66" i="3"/>
  <c r="C67" i="3" s="1"/>
  <c r="D51" i="14" l="1"/>
  <c r="E63" i="14" s="1"/>
  <c r="C52" i="14"/>
  <c r="E62" i="14"/>
  <c r="F59" i="12"/>
  <c r="G59" i="12" s="1"/>
  <c r="F58" i="12"/>
  <c r="G58" i="12" s="1"/>
  <c r="E59" i="9"/>
  <c r="D48" i="9"/>
  <c r="C49" i="9" s="1"/>
  <c r="F47" i="9"/>
  <c r="G47" i="9" s="1"/>
  <c r="D48" i="8"/>
  <c r="E60" i="8"/>
  <c r="F47" i="8"/>
  <c r="G47" i="8" s="1"/>
  <c r="D47" i="7"/>
  <c r="F47" i="7" s="1"/>
  <c r="G47" i="7" s="1"/>
  <c r="C48" i="7"/>
  <c r="F69" i="6"/>
  <c r="G69" i="6" s="1"/>
  <c r="E61" i="5"/>
  <c r="C50" i="5"/>
  <c r="G66" i="3"/>
  <c r="D67" i="3"/>
  <c r="C68" i="3" s="1"/>
  <c r="D52" i="14" l="1"/>
  <c r="E64" i="14"/>
  <c r="F52" i="14"/>
  <c r="G52" i="14" s="1"/>
  <c r="C53" i="14"/>
  <c r="F51" i="14"/>
  <c r="G51" i="14" s="1"/>
  <c r="C60" i="12"/>
  <c r="D60" i="12" s="1"/>
  <c r="F48" i="9"/>
  <c r="G48" i="9" s="1"/>
  <c r="E60" i="9"/>
  <c r="D49" i="9"/>
  <c r="E61" i="9" s="1"/>
  <c r="F48" i="8"/>
  <c r="G48" i="8" s="1"/>
  <c r="C49" i="8"/>
  <c r="E59" i="7"/>
  <c r="D48" i="7"/>
  <c r="E60" i="7" s="1"/>
  <c r="F70" i="6"/>
  <c r="G70" i="6" s="1"/>
  <c r="D50" i="5"/>
  <c r="C51" i="5" s="1"/>
  <c r="G67" i="3"/>
  <c r="D68" i="3"/>
  <c r="C69" i="3" s="1"/>
  <c r="D53" i="14" l="1"/>
  <c r="F53" i="14" s="1"/>
  <c r="G53" i="14" s="1"/>
  <c r="E65" i="14"/>
  <c r="C54" i="14"/>
  <c r="C61" i="12"/>
  <c r="D61" i="12" s="1"/>
  <c r="F60" i="12"/>
  <c r="G60" i="12" s="1"/>
  <c r="F49" i="9"/>
  <c r="G49" i="9" s="1"/>
  <c r="C50" i="9"/>
  <c r="D49" i="8"/>
  <c r="E61" i="8"/>
  <c r="C50" i="8"/>
  <c r="F49" i="8"/>
  <c r="G49" i="8" s="1"/>
  <c r="F48" i="7"/>
  <c r="G48" i="7" s="1"/>
  <c r="C49" i="7"/>
  <c r="F71" i="6"/>
  <c r="G71" i="6" s="1"/>
  <c r="F50" i="5"/>
  <c r="G50" i="5" s="1"/>
  <c r="E62" i="5"/>
  <c r="D51" i="5"/>
  <c r="F51" i="5" s="1"/>
  <c r="G51" i="5" s="1"/>
  <c r="G68" i="3"/>
  <c r="D69" i="3"/>
  <c r="C70" i="3" s="1"/>
  <c r="D54" i="14" l="1"/>
  <c r="F54" i="14" s="1"/>
  <c r="G54" i="14" s="1"/>
  <c r="F61" i="12"/>
  <c r="G61" i="12" s="1"/>
  <c r="D50" i="9"/>
  <c r="E62" i="9" s="1"/>
  <c r="F50" i="9"/>
  <c r="G50" i="9" s="1"/>
  <c r="D50" i="8"/>
  <c r="E62" i="8"/>
  <c r="D49" i="7"/>
  <c r="E61" i="7" s="1"/>
  <c r="G69" i="3"/>
  <c r="F72" i="6"/>
  <c r="G72" i="6" s="1"/>
  <c r="E63" i="5"/>
  <c r="C52" i="5"/>
  <c r="D70" i="3"/>
  <c r="C71" i="3" s="1"/>
  <c r="C55" i="14" l="1"/>
  <c r="E66" i="14"/>
  <c r="C62" i="12"/>
  <c r="D62" i="12" s="1"/>
  <c r="C51" i="9"/>
  <c r="F50" i="8"/>
  <c r="G50" i="8" s="1"/>
  <c r="C51" i="8"/>
  <c r="F49" i="7"/>
  <c r="G49" i="7" s="1"/>
  <c r="C50" i="7"/>
  <c r="G70" i="3"/>
  <c r="F73" i="6"/>
  <c r="G73" i="6" s="1"/>
  <c r="D52" i="5"/>
  <c r="C53" i="5" s="1"/>
  <c r="D71" i="3"/>
  <c r="C72" i="3" s="1"/>
  <c r="D55" i="14" l="1"/>
  <c r="E67" i="14" s="1"/>
  <c r="F55" i="14"/>
  <c r="G55" i="14" s="1"/>
  <c r="C56" i="14"/>
  <c r="C63" i="12"/>
  <c r="D63" i="12" s="1"/>
  <c r="D51" i="9"/>
  <c r="C52" i="9" s="1"/>
  <c r="D51" i="8"/>
  <c r="E63" i="8"/>
  <c r="F51" i="8"/>
  <c r="G51" i="8" s="1"/>
  <c r="D50" i="7"/>
  <c r="C51" i="7" s="1"/>
  <c r="F50" i="7"/>
  <c r="G50" i="7" s="1"/>
  <c r="G71" i="3"/>
  <c r="F74" i="6"/>
  <c r="G74" i="6" s="1"/>
  <c r="E64" i="5"/>
  <c r="F52" i="5"/>
  <c r="G52" i="5" s="1"/>
  <c r="D53" i="5"/>
  <c r="F53" i="5" s="1"/>
  <c r="G53" i="5" s="1"/>
  <c r="D72" i="3"/>
  <c r="C73" i="3" s="1"/>
  <c r="D56" i="14" l="1"/>
  <c r="E68" i="14" s="1"/>
  <c r="F62" i="12"/>
  <c r="G62" i="12" s="1"/>
  <c r="F63" i="12"/>
  <c r="G63" i="12" s="1"/>
  <c r="E63" i="9"/>
  <c r="D52" i="9"/>
  <c r="E64" i="9" s="1"/>
  <c r="F51" i="9"/>
  <c r="G51" i="9" s="1"/>
  <c r="C52" i="8"/>
  <c r="E62" i="7"/>
  <c r="D51" i="7"/>
  <c r="E63" i="7" s="1"/>
  <c r="F75" i="6"/>
  <c r="G75" i="6" s="1"/>
  <c r="E65" i="5"/>
  <c r="C54" i="5"/>
  <c r="G72" i="3"/>
  <c r="D73" i="3"/>
  <c r="C74" i="3" s="1"/>
  <c r="C57" i="14" l="1"/>
  <c r="F56" i="14"/>
  <c r="G56" i="14" s="1"/>
  <c r="C64" i="12"/>
  <c r="F52" i="9"/>
  <c r="G52" i="9" s="1"/>
  <c r="C53" i="9"/>
  <c r="D52" i="8"/>
  <c r="E64" i="8" s="1"/>
  <c r="C53" i="8"/>
  <c r="C52" i="7"/>
  <c r="F51" i="7"/>
  <c r="G51" i="7" s="1"/>
  <c r="F76" i="6"/>
  <c r="G76" i="6" s="1"/>
  <c r="D54" i="5"/>
  <c r="C55" i="5" s="1"/>
  <c r="G73" i="3"/>
  <c r="D74" i="3"/>
  <c r="C75" i="3" s="1"/>
  <c r="D57" i="14" l="1"/>
  <c r="E69" i="14" s="1"/>
  <c r="D64" i="12"/>
  <c r="C65" i="12" s="1"/>
  <c r="F64" i="12"/>
  <c r="G64" i="12" s="1"/>
  <c r="D53" i="9"/>
  <c r="C54" i="9" s="1"/>
  <c r="D53" i="8"/>
  <c r="E65" i="8"/>
  <c r="F52" i="8"/>
  <c r="G52" i="8" s="1"/>
  <c r="C54" i="8"/>
  <c r="D52" i="7"/>
  <c r="E64" i="7" s="1"/>
  <c r="F77" i="6"/>
  <c r="G77" i="6" s="1"/>
  <c r="E66" i="5"/>
  <c r="F54" i="5"/>
  <c r="G54" i="5" s="1"/>
  <c r="D55" i="5"/>
  <c r="F55" i="5" s="1"/>
  <c r="G55" i="5" s="1"/>
  <c r="G74" i="3"/>
  <c r="D75" i="3"/>
  <c r="C76" i="3" s="1"/>
  <c r="G75" i="3"/>
  <c r="C58" i="14" l="1"/>
  <c r="F57" i="14"/>
  <c r="G57" i="14" s="1"/>
  <c r="D65" i="12"/>
  <c r="C66" i="12" s="1"/>
  <c r="F65" i="12"/>
  <c r="G65" i="12" s="1"/>
  <c r="E65" i="9"/>
  <c r="F53" i="9"/>
  <c r="G53" i="9" s="1"/>
  <c r="D54" i="9"/>
  <c r="E66" i="9" s="1"/>
  <c r="D54" i="8"/>
  <c r="E66" i="8"/>
  <c r="C55" i="8"/>
  <c r="F54" i="8"/>
  <c r="G54" i="8" s="1"/>
  <c r="F53" i="8"/>
  <c r="G53" i="8" s="1"/>
  <c r="F52" i="7"/>
  <c r="G52" i="7" s="1"/>
  <c r="C53" i="7"/>
  <c r="F78" i="6"/>
  <c r="G78" i="6" s="1"/>
  <c r="E67" i="5"/>
  <c r="C56" i="5"/>
  <c r="D76" i="3"/>
  <c r="C77" i="3" s="1"/>
  <c r="D58" i="14" l="1"/>
  <c r="F58" i="14" s="1"/>
  <c r="G58" i="14" s="1"/>
  <c r="D66" i="12"/>
  <c r="C67" i="12"/>
  <c r="D67" i="12" s="1"/>
  <c r="F66" i="12"/>
  <c r="G66" i="12" s="1"/>
  <c r="F54" i="9"/>
  <c r="G54" i="9" s="1"/>
  <c r="C55" i="9"/>
  <c r="D55" i="8"/>
  <c r="E67" i="8"/>
  <c r="C56" i="8"/>
  <c r="F55" i="8"/>
  <c r="G55" i="8" s="1"/>
  <c r="D53" i="7"/>
  <c r="F53" i="7" s="1"/>
  <c r="G53" i="7" s="1"/>
  <c r="C54" i="7"/>
  <c r="F79" i="6"/>
  <c r="G79" i="6" s="1"/>
  <c r="D56" i="5"/>
  <c r="C57" i="5" s="1"/>
  <c r="F56" i="5"/>
  <c r="G56" i="5" s="1"/>
  <c r="G76" i="3"/>
  <c r="D77" i="3"/>
  <c r="C78" i="3" s="1"/>
  <c r="C59" i="14" l="1"/>
  <c r="E70" i="14"/>
  <c r="F67" i="12"/>
  <c r="G67" i="12" s="1"/>
  <c r="C68" i="12"/>
  <c r="D68" i="12" s="1"/>
  <c r="D55" i="9"/>
  <c r="E67" i="9" s="1"/>
  <c r="D56" i="8"/>
  <c r="E68" i="8"/>
  <c r="E65" i="7"/>
  <c r="D54" i="7"/>
  <c r="F54" i="7" s="1"/>
  <c r="G54" i="7" s="1"/>
  <c r="C55" i="7"/>
  <c r="F80" i="6"/>
  <c r="G80" i="6" s="1"/>
  <c r="E68" i="5"/>
  <c r="D57" i="5"/>
  <c r="F57" i="5" s="1"/>
  <c r="G57" i="5" s="1"/>
  <c r="G77" i="3"/>
  <c r="D78" i="3"/>
  <c r="C79" i="3" s="1"/>
  <c r="D59" i="14" l="1"/>
  <c r="E71" i="14" s="1"/>
  <c r="C69" i="12"/>
  <c r="D69" i="12" s="1"/>
  <c r="F55" i="9"/>
  <c r="G55" i="9" s="1"/>
  <c r="C56" i="9"/>
  <c r="F56" i="8"/>
  <c r="G56" i="8" s="1"/>
  <c r="C57" i="8"/>
  <c r="E66" i="7"/>
  <c r="D55" i="7"/>
  <c r="E67" i="7" s="1"/>
  <c r="F81" i="6"/>
  <c r="G81" i="6" s="1"/>
  <c r="E69" i="5"/>
  <c r="C58" i="5"/>
  <c r="G78" i="3"/>
  <c r="D79" i="3"/>
  <c r="C80" i="3" s="1"/>
  <c r="C60" i="14" l="1"/>
  <c r="F59" i="14"/>
  <c r="G59" i="14" s="1"/>
  <c r="F69" i="12"/>
  <c r="G69" i="12" s="1"/>
  <c r="F68" i="12"/>
  <c r="G68" i="12" s="1"/>
  <c r="D56" i="9"/>
  <c r="C57" i="9" s="1"/>
  <c r="F56" i="9"/>
  <c r="G56" i="9" s="1"/>
  <c r="D57" i="8"/>
  <c r="E69" i="8" s="1"/>
  <c r="C58" i="8"/>
  <c r="C56" i="7"/>
  <c r="F55" i="7"/>
  <c r="G55" i="7" s="1"/>
  <c r="F82" i="6"/>
  <c r="G82" i="6" s="1"/>
  <c r="D58" i="5"/>
  <c r="C59" i="5" s="1"/>
  <c r="G79" i="3"/>
  <c r="D80" i="3"/>
  <c r="C81" i="3" s="1"/>
  <c r="D60" i="14" l="1"/>
  <c r="E72" i="14"/>
  <c r="F60" i="14"/>
  <c r="G60" i="14" s="1"/>
  <c r="C61" i="14"/>
  <c r="C70" i="12"/>
  <c r="D70" i="12" s="1"/>
  <c r="E68" i="9"/>
  <c r="D57" i="9"/>
  <c r="C58" i="9" s="1"/>
  <c r="D58" i="8"/>
  <c r="E70" i="8"/>
  <c r="F57" i="8"/>
  <c r="G57" i="8" s="1"/>
  <c r="C59" i="8"/>
  <c r="F58" i="8"/>
  <c r="G58" i="8" s="1"/>
  <c r="E68" i="7"/>
  <c r="D56" i="7"/>
  <c r="F83" i="6"/>
  <c r="G83" i="6" s="1"/>
  <c r="E70" i="5"/>
  <c r="F58" i="5"/>
  <c r="G58" i="5" s="1"/>
  <c r="D59" i="5"/>
  <c r="F59" i="5" s="1"/>
  <c r="G59" i="5" s="1"/>
  <c r="G80" i="3"/>
  <c r="D81" i="3"/>
  <c r="C82" i="3" s="1"/>
  <c r="D61" i="14" l="1"/>
  <c r="C62" i="14" s="1"/>
  <c r="C71" i="12"/>
  <c r="D71" i="12" s="1"/>
  <c r="E69" i="9"/>
  <c r="D58" i="9"/>
  <c r="E70" i="9" s="1"/>
  <c r="F57" i="9"/>
  <c r="G57" i="9" s="1"/>
  <c r="D59" i="8"/>
  <c r="E71" i="8" s="1"/>
  <c r="F59" i="8"/>
  <c r="G59" i="8" s="1"/>
  <c r="C57" i="7"/>
  <c r="F56" i="7"/>
  <c r="G56" i="7" s="1"/>
  <c r="F84" i="6"/>
  <c r="G84" i="6" s="1"/>
  <c r="E71" i="5"/>
  <c r="C60" i="5"/>
  <c r="G81" i="3"/>
  <c r="D82" i="3"/>
  <c r="C83" i="3" s="1"/>
  <c r="D62" i="14" l="1"/>
  <c r="E74" i="14" s="1"/>
  <c r="C63" i="14"/>
  <c r="E73" i="14"/>
  <c r="F61" i="14"/>
  <c r="G61" i="14" s="1"/>
  <c r="F71" i="12"/>
  <c r="G71" i="12" s="1"/>
  <c r="F70" i="12"/>
  <c r="G70" i="12" s="1"/>
  <c r="F58" i="9"/>
  <c r="G58" i="9" s="1"/>
  <c r="C59" i="9"/>
  <c r="C60" i="8"/>
  <c r="D57" i="7"/>
  <c r="E69" i="7" s="1"/>
  <c r="F57" i="7"/>
  <c r="G57" i="7" s="1"/>
  <c r="C58" i="7"/>
  <c r="F85" i="6"/>
  <c r="G85" i="6" s="1"/>
  <c r="D60" i="5"/>
  <c r="C61" i="5" s="1"/>
  <c r="G82" i="3"/>
  <c r="D83" i="3"/>
  <c r="C84" i="3" s="1"/>
  <c r="D63" i="14" l="1"/>
  <c r="E75" i="14" s="1"/>
  <c r="F63" i="14"/>
  <c r="G63" i="14" s="1"/>
  <c r="C64" i="14"/>
  <c r="F62" i="14"/>
  <c r="G62" i="14" s="1"/>
  <c r="C72" i="12"/>
  <c r="D72" i="12" s="1"/>
  <c r="D59" i="9"/>
  <c r="C60" i="9" s="1"/>
  <c r="D60" i="8"/>
  <c r="E72" i="8" s="1"/>
  <c r="D58" i="7"/>
  <c r="E70" i="7" s="1"/>
  <c r="C59" i="7"/>
  <c r="F86" i="6"/>
  <c r="G86" i="6" s="1"/>
  <c r="E72" i="5"/>
  <c r="D61" i="5"/>
  <c r="F61" i="5" s="1"/>
  <c r="G61" i="5" s="1"/>
  <c r="F60" i="5"/>
  <c r="G60" i="5" s="1"/>
  <c r="G83" i="3"/>
  <c r="D84" i="3"/>
  <c r="C85" i="3" s="1"/>
  <c r="D64" i="14" l="1"/>
  <c r="E76" i="14" s="1"/>
  <c r="C73" i="12"/>
  <c r="D73" i="12" s="1"/>
  <c r="E71" i="9"/>
  <c r="D60" i="9"/>
  <c r="C61" i="9" s="1"/>
  <c r="F60" i="9"/>
  <c r="G60" i="9" s="1"/>
  <c r="F59" i="9"/>
  <c r="G59" i="9" s="1"/>
  <c r="F60" i="8"/>
  <c r="G60" i="8" s="1"/>
  <c r="C61" i="8"/>
  <c r="D59" i="7"/>
  <c r="E71" i="7" s="1"/>
  <c r="F59" i="7"/>
  <c r="G59" i="7" s="1"/>
  <c r="F58" i="7"/>
  <c r="G58" i="7" s="1"/>
  <c r="F87" i="6"/>
  <c r="G87" i="6" s="1"/>
  <c r="E73" i="5"/>
  <c r="C62" i="5"/>
  <c r="G84" i="3"/>
  <c r="D85" i="3"/>
  <c r="C86" i="3" s="1"/>
  <c r="C65" i="14" l="1"/>
  <c r="F64" i="14"/>
  <c r="G64" i="14" s="1"/>
  <c r="F73" i="12"/>
  <c r="G73" i="12" s="1"/>
  <c r="F72" i="12"/>
  <c r="G72" i="12" s="1"/>
  <c r="E72" i="9"/>
  <c r="D61" i="9"/>
  <c r="E73" i="9" s="1"/>
  <c r="D61" i="8"/>
  <c r="E73" i="8"/>
  <c r="C60" i="7"/>
  <c r="F88" i="6"/>
  <c r="G88" i="6" s="1"/>
  <c r="D62" i="5"/>
  <c r="C63" i="5" s="1"/>
  <c r="G85" i="3"/>
  <c r="D86" i="3"/>
  <c r="C87" i="3" s="1"/>
  <c r="D65" i="14" l="1"/>
  <c r="E77" i="14" s="1"/>
  <c r="C74" i="12"/>
  <c r="D74" i="12" s="1"/>
  <c r="F61" i="9"/>
  <c r="G61" i="9" s="1"/>
  <c r="C62" i="9"/>
  <c r="F61" i="8"/>
  <c r="G61" i="8" s="1"/>
  <c r="C62" i="8"/>
  <c r="D60" i="7"/>
  <c r="E72" i="7" s="1"/>
  <c r="C61" i="7"/>
  <c r="F89" i="6"/>
  <c r="G89" i="6" s="1"/>
  <c r="E74" i="5"/>
  <c r="F62" i="5"/>
  <c r="G62" i="5" s="1"/>
  <c r="D63" i="5"/>
  <c r="C64" i="5" s="1"/>
  <c r="G86" i="3"/>
  <c r="D87" i="3"/>
  <c r="C88" i="3" s="1"/>
  <c r="F65" i="14" l="1"/>
  <c r="G65" i="14" s="1"/>
  <c r="C66" i="14"/>
  <c r="C75" i="12"/>
  <c r="D75" i="12" s="1"/>
  <c r="D62" i="9"/>
  <c r="E74" i="9" s="1"/>
  <c r="F62" i="9"/>
  <c r="G62" i="9" s="1"/>
  <c r="D62" i="8"/>
  <c r="E74" i="8"/>
  <c r="C63" i="8"/>
  <c r="D61" i="7"/>
  <c r="E73" i="7" s="1"/>
  <c r="F61" i="7"/>
  <c r="G61" i="7" s="1"/>
  <c r="F60" i="7"/>
  <c r="G60" i="7" s="1"/>
  <c r="F90" i="6"/>
  <c r="G90" i="6" s="1"/>
  <c r="E75" i="5"/>
  <c r="F63" i="5"/>
  <c r="G63" i="5" s="1"/>
  <c r="D64" i="5"/>
  <c r="C65" i="5" s="1"/>
  <c r="G87" i="3"/>
  <c r="D88" i="3"/>
  <c r="C89" i="3" s="1"/>
  <c r="D66" i="14" l="1"/>
  <c r="F66" i="14" s="1"/>
  <c r="G66" i="14" s="1"/>
  <c r="F75" i="12"/>
  <c r="G75" i="12" s="1"/>
  <c r="F74" i="12"/>
  <c r="G74" i="12" s="1"/>
  <c r="C63" i="9"/>
  <c r="D63" i="8"/>
  <c r="E75" i="8"/>
  <c r="F62" i="8"/>
  <c r="G62" i="8" s="1"/>
  <c r="C62" i="7"/>
  <c r="F91" i="6"/>
  <c r="G91" i="6" s="1"/>
  <c r="E76" i="5"/>
  <c r="F64" i="5"/>
  <c r="G64" i="5" s="1"/>
  <c r="D65" i="5"/>
  <c r="F65" i="5" s="1"/>
  <c r="G65" i="5" s="1"/>
  <c r="G88" i="3"/>
  <c r="D89" i="3"/>
  <c r="C90" i="3" s="1"/>
  <c r="E78" i="14" l="1"/>
  <c r="C67" i="14"/>
  <c r="C76" i="12"/>
  <c r="D76" i="12" s="1"/>
  <c r="D63" i="9"/>
  <c r="C64" i="9" s="1"/>
  <c r="F63" i="8"/>
  <c r="G63" i="8" s="1"/>
  <c r="C64" i="8"/>
  <c r="D62" i="7"/>
  <c r="E74" i="7" s="1"/>
  <c r="G89" i="3"/>
  <c r="F92" i="6"/>
  <c r="G92" i="6" s="1"/>
  <c r="E77" i="5"/>
  <c r="C66" i="5"/>
  <c r="D90" i="3"/>
  <c r="C91" i="3" s="1"/>
  <c r="D67" i="14" l="1"/>
  <c r="E79" i="14" s="1"/>
  <c r="C77" i="12"/>
  <c r="D77" i="12" s="1"/>
  <c r="E75" i="9"/>
  <c r="D64" i="9"/>
  <c r="C65" i="9" s="1"/>
  <c r="F64" i="9"/>
  <c r="G64" i="9" s="1"/>
  <c r="F63" i="9"/>
  <c r="G63" i="9" s="1"/>
  <c r="D64" i="8"/>
  <c r="E76" i="8"/>
  <c r="C65" i="8"/>
  <c r="F64" i="8"/>
  <c r="G64" i="8" s="1"/>
  <c r="F62" i="7"/>
  <c r="G62" i="7" s="1"/>
  <c r="C63" i="7"/>
  <c r="G90" i="3"/>
  <c r="F93" i="6"/>
  <c r="G93" i="6" s="1"/>
  <c r="D66" i="5"/>
  <c r="C67" i="5" s="1"/>
  <c r="D91" i="3"/>
  <c r="C92" i="3" s="1"/>
  <c r="F67" i="14" l="1"/>
  <c r="G67" i="14" s="1"/>
  <c r="C68" i="14"/>
  <c r="F77" i="12"/>
  <c r="G77" i="12" s="1"/>
  <c r="F76" i="12"/>
  <c r="G76" i="12" s="1"/>
  <c r="E76" i="9"/>
  <c r="D65" i="9"/>
  <c r="E77" i="9" s="1"/>
  <c r="D65" i="8"/>
  <c r="E77" i="8"/>
  <c r="D63" i="7"/>
  <c r="E75" i="7" s="1"/>
  <c r="G91" i="3"/>
  <c r="F66" i="5"/>
  <c r="G66" i="5" s="1"/>
  <c r="F94" i="6"/>
  <c r="G94" i="6" s="1"/>
  <c r="E78" i="5"/>
  <c r="D67" i="5"/>
  <c r="F67" i="5" s="1"/>
  <c r="G67" i="5" s="1"/>
  <c r="D92" i="3"/>
  <c r="C93" i="3" s="1"/>
  <c r="D68" i="14" l="1"/>
  <c r="E80" i="14" s="1"/>
  <c r="F68" i="14"/>
  <c r="G68" i="14" s="1"/>
  <c r="C69" i="14"/>
  <c r="C78" i="12"/>
  <c r="D78" i="12" s="1"/>
  <c r="F65" i="9"/>
  <c r="G65" i="9" s="1"/>
  <c r="C66" i="9"/>
  <c r="F65" i="8"/>
  <c r="G65" i="8" s="1"/>
  <c r="C66" i="8"/>
  <c r="C64" i="7"/>
  <c r="F63" i="7"/>
  <c r="G63" i="7" s="1"/>
  <c r="G92" i="3"/>
  <c r="F95" i="6"/>
  <c r="G95" i="6" s="1"/>
  <c r="E79" i="5"/>
  <c r="C68" i="5"/>
  <c r="D93" i="3"/>
  <c r="C94" i="3" s="1"/>
  <c r="D69" i="14" l="1"/>
  <c r="F69" i="14" s="1"/>
  <c r="G69" i="14" s="1"/>
  <c r="C70" i="14"/>
  <c r="C79" i="12"/>
  <c r="D79" i="12" s="1"/>
  <c r="D66" i="9"/>
  <c r="E78" i="9" s="1"/>
  <c r="D66" i="8"/>
  <c r="E78" i="8"/>
  <c r="F66" i="8"/>
  <c r="G66" i="8" s="1"/>
  <c r="D64" i="7"/>
  <c r="E76" i="7" s="1"/>
  <c r="G93" i="3"/>
  <c r="F96" i="6"/>
  <c r="G96" i="6" s="1"/>
  <c r="D68" i="5"/>
  <c r="C69" i="5" s="1"/>
  <c r="D94" i="3"/>
  <c r="C95" i="3" s="1"/>
  <c r="E81" i="14" l="1"/>
  <c r="D70" i="14"/>
  <c r="E82" i="14" s="1"/>
  <c r="C71" i="14"/>
  <c r="F79" i="12"/>
  <c r="G79" i="12" s="1"/>
  <c r="F78" i="12"/>
  <c r="G78" i="12" s="1"/>
  <c r="F66" i="9"/>
  <c r="G66" i="9" s="1"/>
  <c r="C67" i="9"/>
  <c r="C67" i="8"/>
  <c r="C65" i="7"/>
  <c r="F64" i="7"/>
  <c r="G64" i="7" s="1"/>
  <c r="G94" i="3"/>
  <c r="F97" i="6"/>
  <c r="G97" i="6" s="1"/>
  <c r="E80" i="5"/>
  <c r="F68" i="5"/>
  <c r="G68" i="5" s="1"/>
  <c r="D69" i="5"/>
  <c r="F69" i="5" s="1"/>
  <c r="G69" i="5" s="1"/>
  <c r="D95" i="3"/>
  <c r="C96" i="3" s="1"/>
  <c r="D71" i="14" l="1"/>
  <c r="F71" i="14" s="1"/>
  <c r="G71" i="14" s="1"/>
  <c r="F70" i="14"/>
  <c r="G70" i="14" s="1"/>
  <c r="C80" i="12"/>
  <c r="D80" i="12" s="1"/>
  <c r="D67" i="9"/>
  <c r="C68" i="9" s="1"/>
  <c r="F67" i="9"/>
  <c r="G67" i="9" s="1"/>
  <c r="D67" i="8"/>
  <c r="E79" i="8"/>
  <c r="C68" i="8"/>
  <c r="D65" i="7"/>
  <c r="E77" i="7" s="1"/>
  <c r="F65" i="7"/>
  <c r="G65" i="7" s="1"/>
  <c r="C66" i="7"/>
  <c r="F98" i="6"/>
  <c r="G98" i="6" s="1"/>
  <c r="E81" i="5"/>
  <c r="C70" i="5"/>
  <c r="G95" i="3"/>
  <c r="D96" i="3"/>
  <c r="C97" i="3" s="1"/>
  <c r="E83" i="14" l="1"/>
  <c r="C72" i="14"/>
  <c r="C81" i="12"/>
  <c r="D81" i="12" s="1"/>
  <c r="E79" i="9"/>
  <c r="D68" i="9"/>
  <c r="E80" i="9" s="1"/>
  <c r="D68" i="8"/>
  <c r="E80" i="8"/>
  <c r="F68" i="8"/>
  <c r="G68" i="8" s="1"/>
  <c r="F67" i="8"/>
  <c r="G67" i="8" s="1"/>
  <c r="D66" i="7"/>
  <c r="F66" i="7" s="1"/>
  <c r="G66" i="7" s="1"/>
  <c r="G96" i="3"/>
  <c r="F99" i="6"/>
  <c r="G99" i="6" s="1"/>
  <c r="D70" i="5"/>
  <c r="C71" i="5" s="1"/>
  <c r="D97" i="3"/>
  <c r="C98" i="3" s="1"/>
  <c r="D72" i="14" l="1"/>
  <c r="F72" i="14" s="1"/>
  <c r="G72" i="14" s="1"/>
  <c r="E84" i="14"/>
  <c r="C73" i="14"/>
  <c r="F81" i="12"/>
  <c r="G81" i="12" s="1"/>
  <c r="F80" i="12"/>
  <c r="G80" i="12" s="1"/>
  <c r="F68" i="9"/>
  <c r="G68" i="9" s="1"/>
  <c r="C69" i="9"/>
  <c r="C69" i="8"/>
  <c r="E78" i="7"/>
  <c r="C67" i="7"/>
  <c r="G97" i="3"/>
  <c r="E82" i="5"/>
  <c r="F100" i="6"/>
  <c r="G100" i="6" s="1"/>
  <c r="F70" i="5"/>
  <c r="G70" i="5" s="1"/>
  <c r="D71" i="5"/>
  <c r="F71" i="5" s="1"/>
  <c r="G71" i="5" s="1"/>
  <c r="D98" i="3"/>
  <c r="C99" i="3" s="1"/>
  <c r="D73" i="14" l="1"/>
  <c r="E85" i="14" s="1"/>
  <c r="C74" i="14"/>
  <c r="C82" i="12"/>
  <c r="D82" i="12" s="1"/>
  <c r="E81" i="9"/>
  <c r="D69" i="9"/>
  <c r="C70" i="9" s="1"/>
  <c r="F69" i="9"/>
  <c r="G69" i="9" s="1"/>
  <c r="D69" i="8"/>
  <c r="E81" i="8"/>
  <c r="F69" i="8"/>
  <c r="G69" i="8" s="1"/>
  <c r="D67" i="7"/>
  <c r="E79" i="7" s="1"/>
  <c r="C68" i="7"/>
  <c r="F67" i="7"/>
  <c r="G67" i="7" s="1"/>
  <c r="G98" i="3"/>
  <c r="F101" i="6"/>
  <c r="G101" i="6" s="1"/>
  <c r="E83" i="5"/>
  <c r="C72" i="5"/>
  <c r="D99" i="3"/>
  <c r="C100" i="3" s="1"/>
  <c r="G99" i="3"/>
  <c r="D74" i="14" l="1"/>
  <c r="F74" i="14" s="1"/>
  <c r="G74" i="14" s="1"/>
  <c r="C75" i="14"/>
  <c r="F73" i="14"/>
  <c r="G73" i="14" s="1"/>
  <c r="C83" i="12"/>
  <c r="D83" i="12" s="1"/>
  <c r="F82" i="12"/>
  <c r="G82" i="12" s="1"/>
  <c r="E82" i="9"/>
  <c r="D70" i="9"/>
  <c r="F70" i="9"/>
  <c r="G70" i="9" s="1"/>
  <c r="C70" i="8"/>
  <c r="D68" i="7"/>
  <c r="E80" i="7" s="1"/>
  <c r="F102" i="6"/>
  <c r="G102" i="6" s="1"/>
  <c r="D72" i="5"/>
  <c r="C73" i="5" s="1"/>
  <c r="D100" i="3"/>
  <c r="C101" i="3" s="1"/>
  <c r="G100" i="3"/>
  <c r="E86" i="14" l="1"/>
  <c r="D75" i="14"/>
  <c r="E87" i="14" s="1"/>
  <c r="F83" i="12"/>
  <c r="G83" i="12" s="1"/>
  <c r="C71" i="9"/>
  <c r="D70" i="8"/>
  <c r="E82" i="8"/>
  <c r="C71" i="8"/>
  <c r="F70" i="8"/>
  <c r="G70" i="8" s="1"/>
  <c r="F68" i="7"/>
  <c r="G68" i="7" s="1"/>
  <c r="C69" i="7"/>
  <c r="F103" i="6"/>
  <c r="G103" i="6" s="1"/>
  <c r="E84" i="5"/>
  <c r="F72" i="5"/>
  <c r="G72" i="5" s="1"/>
  <c r="D73" i="5"/>
  <c r="F73" i="5" s="1"/>
  <c r="G73" i="5" s="1"/>
  <c r="D101" i="3"/>
  <c r="C102" i="3" s="1"/>
  <c r="C76" i="14" l="1"/>
  <c r="F75" i="14"/>
  <c r="G75" i="14" s="1"/>
  <c r="C84" i="12"/>
  <c r="D84" i="12" s="1"/>
  <c r="E83" i="9"/>
  <c r="D71" i="9"/>
  <c r="C72" i="9" s="1"/>
  <c r="F71" i="9"/>
  <c r="G71" i="9" s="1"/>
  <c r="D71" i="8"/>
  <c r="E83" i="8"/>
  <c r="D69" i="7"/>
  <c r="E81" i="7" s="1"/>
  <c r="C70" i="7"/>
  <c r="F69" i="7"/>
  <c r="G69" i="7" s="1"/>
  <c r="G101" i="3"/>
  <c r="F104" i="6"/>
  <c r="G104" i="6" s="1"/>
  <c r="E85" i="5"/>
  <c r="C74" i="5"/>
  <c r="D102" i="3"/>
  <c r="C103" i="3" s="1"/>
  <c r="D76" i="14" l="1"/>
  <c r="E88" i="14"/>
  <c r="F76" i="14"/>
  <c r="G76" i="14" s="1"/>
  <c r="C77" i="14"/>
  <c r="C85" i="12"/>
  <c r="D85" i="12" s="1"/>
  <c r="F84" i="12"/>
  <c r="G84" i="12" s="1"/>
  <c r="E84" i="9"/>
  <c r="D72" i="9"/>
  <c r="C73" i="9" s="1"/>
  <c r="F71" i="8"/>
  <c r="G71" i="8" s="1"/>
  <c r="C72" i="8"/>
  <c r="D70" i="7"/>
  <c r="E82" i="7" s="1"/>
  <c r="F105" i="6"/>
  <c r="G105" i="6" s="1"/>
  <c r="D74" i="5"/>
  <c r="C75" i="5" s="1"/>
  <c r="G102" i="3"/>
  <c r="D103" i="3"/>
  <c r="C104" i="3" s="1"/>
  <c r="G103" i="3"/>
  <c r="D77" i="14" l="1"/>
  <c r="E89" i="14" s="1"/>
  <c r="F85" i="12"/>
  <c r="G85" i="12" s="1"/>
  <c r="E85" i="9"/>
  <c r="D73" i="9"/>
  <c r="C74" i="9" s="1"/>
  <c r="F73" i="9"/>
  <c r="G73" i="9" s="1"/>
  <c r="F72" i="9"/>
  <c r="G72" i="9" s="1"/>
  <c r="D72" i="8"/>
  <c r="E84" i="8"/>
  <c r="F72" i="8"/>
  <c r="G72" i="8" s="1"/>
  <c r="F70" i="7"/>
  <c r="G70" i="7" s="1"/>
  <c r="C71" i="7"/>
  <c r="F106" i="6"/>
  <c r="G106" i="6" s="1"/>
  <c r="E86" i="5"/>
  <c r="F74" i="5"/>
  <c r="G74" i="5" s="1"/>
  <c r="D75" i="5"/>
  <c r="F75" i="5" s="1"/>
  <c r="G75" i="5" s="1"/>
  <c r="D104" i="3"/>
  <c r="C105" i="3" s="1"/>
  <c r="C78" i="14" l="1"/>
  <c r="F77" i="14"/>
  <c r="G77" i="14" s="1"/>
  <c r="C86" i="12"/>
  <c r="D86" i="12" s="1"/>
  <c r="E86" i="9"/>
  <c r="D74" i="9"/>
  <c r="C75" i="9" s="1"/>
  <c r="C73" i="8"/>
  <c r="D71" i="7"/>
  <c r="E83" i="7" s="1"/>
  <c r="F71" i="7"/>
  <c r="G71" i="7" s="1"/>
  <c r="C72" i="7"/>
  <c r="F107" i="6"/>
  <c r="G107" i="6" s="1"/>
  <c r="E87" i="5"/>
  <c r="C76" i="5"/>
  <c r="G104" i="3"/>
  <c r="D105" i="3"/>
  <c r="C106" i="3" s="1"/>
  <c r="G105" i="3"/>
  <c r="D78" i="14" l="1"/>
  <c r="E90" i="14" s="1"/>
  <c r="C87" i="12"/>
  <c r="D87" i="12" s="1"/>
  <c r="E87" i="9"/>
  <c r="F74" i="9"/>
  <c r="G74" i="9" s="1"/>
  <c r="D75" i="9"/>
  <c r="C76" i="9" s="1"/>
  <c r="D73" i="8"/>
  <c r="E85" i="8"/>
  <c r="C74" i="8"/>
  <c r="D72" i="7"/>
  <c r="E84" i="7" s="1"/>
  <c r="F108" i="6"/>
  <c r="G108" i="6" s="1"/>
  <c r="D76" i="5"/>
  <c r="C77" i="5" s="1"/>
  <c r="D106" i="3"/>
  <c r="C107" i="3" s="1"/>
  <c r="G106" i="3"/>
  <c r="F78" i="14" l="1"/>
  <c r="G78" i="14" s="1"/>
  <c r="C79" i="14"/>
  <c r="F87" i="12"/>
  <c r="G87" i="12" s="1"/>
  <c r="F86" i="12"/>
  <c r="G86" i="12" s="1"/>
  <c r="E88" i="9"/>
  <c r="F75" i="9"/>
  <c r="G75" i="9" s="1"/>
  <c r="D76" i="9"/>
  <c r="D74" i="8"/>
  <c r="E86" i="8" s="1"/>
  <c r="C75" i="8"/>
  <c r="F74" i="8"/>
  <c r="G74" i="8" s="1"/>
  <c r="F73" i="8"/>
  <c r="G73" i="8" s="1"/>
  <c r="C73" i="7"/>
  <c r="F72" i="7"/>
  <c r="G72" i="7" s="1"/>
  <c r="F109" i="6"/>
  <c r="G109" i="6" s="1"/>
  <c r="E88" i="5"/>
  <c r="F76" i="5"/>
  <c r="G76" i="5" s="1"/>
  <c r="D77" i="5"/>
  <c r="C78" i="5" s="1"/>
  <c r="D107" i="3"/>
  <c r="C108" i="3" s="1"/>
  <c r="G107" i="3"/>
  <c r="D79" i="14" l="1"/>
  <c r="E91" i="14"/>
  <c r="F79" i="14"/>
  <c r="G79" i="14" s="1"/>
  <c r="C80" i="14"/>
  <c r="C88" i="12"/>
  <c r="D88" i="12" s="1"/>
  <c r="F76" i="9"/>
  <c r="G76" i="9" s="1"/>
  <c r="C77" i="9"/>
  <c r="D75" i="8"/>
  <c r="E87" i="8"/>
  <c r="C76" i="8"/>
  <c r="D73" i="7"/>
  <c r="E85" i="7" s="1"/>
  <c r="F110" i="6"/>
  <c r="G110" i="6" s="1"/>
  <c r="E89" i="5"/>
  <c r="F77" i="5"/>
  <c r="G77" i="5" s="1"/>
  <c r="D78" i="5"/>
  <c r="C79" i="5" s="1"/>
  <c r="D108" i="3"/>
  <c r="C109" i="3" s="1"/>
  <c r="G108" i="3"/>
  <c r="D80" i="14" l="1"/>
  <c r="F80" i="14" s="1"/>
  <c r="G80" i="14" s="1"/>
  <c r="E92" i="14"/>
  <c r="C81" i="14"/>
  <c r="C89" i="12"/>
  <c r="D89" i="12" s="1"/>
  <c r="E89" i="9"/>
  <c r="D77" i="9"/>
  <c r="C78" i="9" s="1"/>
  <c r="F77" i="9"/>
  <c r="G77" i="9" s="1"/>
  <c r="D76" i="8"/>
  <c r="E88" i="8" s="1"/>
  <c r="F76" i="8"/>
  <c r="G76" i="8" s="1"/>
  <c r="F75" i="8"/>
  <c r="G75" i="8" s="1"/>
  <c r="C74" i="7"/>
  <c r="F73" i="7"/>
  <c r="G73" i="7" s="1"/>
  <c r="F78" i="5"/>
  <c r="G78" i="5" s="1"/>
  <c r="F111" i="6"/>
  <c r="G111" i="6" s="1"/>
  <c r="E90" i="5"/>
  <c r="D79" i="5"/>
  <c r="F79" i="5" s="1"/>
  <c r="G79" i="5" s="1"/>
  <c r="D109" i="3"/>
  <c r="C110" i="3" s="1"/>
  <c r="D81" i="14" l="1"/>
  <c r="F81" i="14" s="1"/>
  <c r="G81" i="14" s="1"/>
  <c r="C82" i="14"/>
  <c r="F89" i="12"/>
  <c r="G89" i="12" s="1"/>
  <c r="F88" i="12"/>
  <c r="G88" i="12" s="1"/>
  <c r="E90" i="9"/>
  <c r="D78" i="9"/>
  <c r="C77" i="8"/>
  <c r="D74" i="7"/>
  <c r="E86" i="7" s="1"/>
  <c r="C75" i="7"/>
  <c r="F112" i="6"/>
  <c r="G112" i="6" s="1"/>
  <c r="E91" i="5"/>
  <c r="C80" i="5"/>
  <c r="G109" i="3"/>
  <c r="D110" i="3"/>
  <c r="C111" i="3" s="1"/>
  <c r="E93" i="14" l="1"/>
  <c r="D82" i="14"/>
  <c r="E94" i="14" s="1"/>
  <c r="C83" i="14"/>
  <c r="C90" i="12"/>
  <c r="D90" i="12" s="1"/>
  <c r="F78" i="9"/>
  <c r="G78" i="9" s="1"/>
  <c r="C79" i="9"/>
  <c r="D77" i="8"/>
  <c r="E89" i="8"/>
  <c r="F74" i="7"/>
  <c r="G74" i="7" s="1"/>
  <c r="D75" i="7"/>
  <c r="E87" i="7" s="1"/>
  <c r="F113" i="6"/>
  <c r="G113" i="6" s="1"/>
  <c r="D80" i="5"/>
  <c r="C81" i="5" s="1"/>
  <c r="G110" i="3"/>
  <c r="D111" i="3"/>
  <c r="C112" i="3" s="1"/>
  <c r="D83" i="14" l="1"/>
  <c r="F83" i="14" s="1"/>
  <c r="G83" i="14" s="1"/>
  <c r="F82" i="14"/>
  <c r="G82" i="14" s="1"/>
  <c r="C91" i="12"/>
  <c r="D91" i="12" s="1"/>
  <c r="E91" i="9"/>
  <c r="D79" i="9"/>
  <c r="C80" i="9" s="1"/>
  <c r="F79" i="9"/>
  <c r="G79" i="9" s="1"/>
  <c r="F77" i="8"/>
  <c r="G77" i="8" s="1"/>
  <c r="C78" i="8"/>
  <c r="C76" i="7"/>
  <c r="F75" i="7"/>
  <c r="G75" i="7" s="1"/>
  <c r="F114" i="6"/>
  <c r="G114" i="6" s="1"/>
  <c r="E92" i="5"/>
  <c r="F80" i="5"/>
  <c r="G80" i="5" s="1"/>
  <c r="D81" i="5"/>
  <c r="F81" i="5" s="1"/>
  <c r="G81" i="5" s="1"/>
  <c r="G111" i="3"/>
  <c r="D112" i="3"/>
  <c r="C113" i="3" s="1"/>
  <c r="C84" i="14" l="1"/>
  <c r="E95" i="14"/>
  <c r="F91" i="12"/>
  <c r="G91" i="12" s="1"/>
  <c r="F90" i="12"/>
  <c r="G90" i="12" s="1"/>
  <c r="E92" i="9"/>
  <c r="D80" i="9"/>
  <c r="C81" i="9" s="1"/>
  <c r="F80" i="9"/>
  <c r="G80" i="9" s="1"/>
  <c r="D78" i="8"/>
  <c r="E90" i="8" s="1"/>
  <c r="F78" i="8"/>
  <c r="G78" i="8" s="1"/>
  <c r="D76" i="7"/>
  <c r="E88" i="7" s="1"/>
  <c r="F115" i="6"/>
  <c r="G115" i="6" s="1"/>
  <c r="E93" i="5"/>
  <c r="C82" i="5"/>
  <c r="D113" i="3"/>
  <c r="C114" i="3" s="1"/>
  <c r="G112" i="3"/>
  <c r="D84" i="14" l="1"/>
  <c r="E96" i="14" s="1"/>
  <c r="F84" i="14"/>
  <c r="G84" i="14" s="1"/>
  <c r="C85" i="14"/>
  <c r="C92" i="12"/>
  <c r="D92" i="12" s="1"/>
  <c r="E93" i="9"/>
  <c r="D81" i="9"/>
  <c r="C79" i="8"/>
  <c r="F76" i="7"/>
  <c r="G76" i="7" s="1"/>
  <c r="C77" i="7"/>
  <c r="G113" i="3"/>
  <c r="F117" i="6"/>
  <c r="G117" i="6" s="1"/>
  <c r="F116" i="6"/>
  <c r="G116" i="6" s="1"/>
  <c r="D82" i="5"/>
  <c r="C83" i="5" s="1"/>
  <c r="D114" i="3"/>
  <c r="C115" i="3" s="1"/>
  <c r="D85" i="14" l="1"/>
  <c r="F85" i="14" s="1"/>
  <c r="G85" i="14" s="1"/>
  <c r="C86" i="14"/>
  <c r="C93" i="12"/>
  <c r="D93" i="12" s="1"/>
  <c r="F81" i="9"/>
  <c r="G81" i="9" s="1"/>
  <c r="C82" i="9"/>
  <c r="D79" i="8"/>
  <c r="E91" i="8"/>
  <c r="F79" i="8"/>
  <c r="G79" i="8" s="1"/>
  <c r="C80" i="8"/>
  <c r="D77" i="7"/>
  <c r="F77" i="7" s="1"/>
  <c r="G77" i="7" s="1"/>
  <c r="C78" i="7"/>
  <c r="J10" i="6"/>
  <c r="E94" i="5"/>
  <c r="F82" i="5"/>
  <c r="G82" i="5" s="1"/>
  <c r="D83" i="5"/>
  <c r="F83" i="5" s="1"/>
  <c r="G83" i="5" s="1"/>
  <c r="D115" i="3"/>
  <c r="C116" i="3" s="1"/>
  <c r="G114" i="3"/>
  <c r="E97" i="14" l="1"/>
  <c r="D86" i="14"/>
  <c r="C87" i="14" s="1"/>
  <c r="F93" i="12"/>
  <c r="G93" i="12" s="1"/>
  <c r="F92" i="12"/>
  <c r="G92" i="12" s="1"/>
  <c r="E94" i="9"/>
  <c r="D82" i="9"/>
  <c r="D80" i="8"/>
  <c r="E92" i="8" s="1"/>
  <c r="E89" i="7"/>
  <c r="D78" i="7"/>
  <c r="C79" i="7" s="1"/>
  <c r="F78" i="7"/>
  <c r="G78" i="7" s="1"/>
  <c r="G115" i="3"/>
  <c r="E95" i="5"/>
  <c r="C84" i="5"/>
  <c r="D116" i="3"/>
  <c r="C117" i="3" s="1"/>
  <c r="D117" i="3" s="1"/>
  <c r="G117" i="3" s="1"/>
  <c r="D87" i="14" l="1"/>
  <c r="E99" i="14"/>
  <c r="F87" i="14"/>
  <c r="G87" i="14" s="1"/>
  <c r="C88" i="14"/>
  <c r="F86" i="14"/>
  <c r="G86" i="14" s="1"/>
  <c r="E98" i="14"/>
  <c r="C94" i="12"/>
  <c r="D94" i="12" s="1"/>
  <c r="F82" i="9"/>
  <c r="G82" i="9" s="1"/>
  <c r="C83" i="9"/>
  <c r="C81" i="8"/>
  <c r="F80" i="8"/>
  <c r="G80" i="8" s="1"/>
  <c r="E90" i="7"/>
  <c r="D79" i="7"/>
  <c r="C80" i="7" s="1"/>
  <c r="D84" i="5"/>
  <c r="C85" i="5" s="1"/>
  <c r="G116" i="3"/>
  <c r="J10" i="3"/>
  <c r="D88" i="14" l="1"/>
  <c r="E100" i="14" s="1"/>
  <c r="C89" i="14"/>
  <c r="F94" i="12"/>
  <c r="G94" i="12" s="1"/>
  <c r="E95" i="9"/>
  <c r="D83" i="9"/>
  <c r="C84" i="9" s="1"/>
  <c r="F83" i="9"/>
  <c r="G83" i="9" s="1"/>
  <c r="D81" i="8"/>
  <c r="F81" i="8" s="1"/>
  <c r="G81" i="8" s="1"/>
  <c r="F79" i="7"/>
  <c r="G79" i="7" s="1"/>
  <c r="E91" i="7"/>
  <c r="D80" i="7"/>
  <c r="E92" i="7" s="1"/>
  <c r="F84" i="5"/>
  <c r="G84" i="5" s="1"/>
  <c r="E96" i="5"/>
  <c r="D85" i="5"/>
  <c r="F85" i="5" s="1"/>
  <c r="G85" i="5" s="1"/>
  <c r="D89" i="14" l="1"/>
  <c r="E101" i="14" s="1"/>
  <c r="F88" i="14"/>
  <c r="G88" i="14" s="1"/>
  <c r="C95" i="12"/>
  <c r="D95" i="12" s="1"/>
  <c r="D84" i="9"/>
  <c r="E96" i="9" s="1"/>
  <c r="E93" i="8"/>
  <c r="C82" i="8"/>
  <c r="F80" i="7"/>
  <c r="G80" i="7" s="1"/>
  <c r="C81" i="7"/>
  <c r="E97" i="5"/>
  <c r="C86" i="5"/>
  <c r="F89" i="14" l="1"/>
  <c r="G89" i="14" s="1"/>
  <c r="C90" i="14"/>
  <c r="F95" i="12"/>
  <c r="G95" i="12" s="1"/>
  <c r="C96" i="12"/>
  <c r="D96" i="12" s="1"/>
  <c r="F84" i="9"/>
  <c r="G84" i="9" s="1"/>
  <c r="C85" i="9"/>
  <c r="D82" i="8"/>
  <c r="E94" i="8"/>
  <c r="D81" i="7"/>
  <c r="E93" i="7" s="1"/>
  <c r="F81" i="7"/>
  <c r="G81" i="7" s="1"/>
  <c r="C82" i="7"/>
  <c r="D86" i="5"/>
  <c r="C87" i="5" s="1"/>
  <c r="D90" i="14" l="1"/>
  <c r="F90" i="14" s="1"/>
  <c r="G90" i="14" s="1"/>
  <c r="C91" i="14"/>
  <c r="C97" i="12"/>
  <c r="D97" i="12" s="1"/>
  <c r="F96" i="12"/>
  <c r="G96" i="12" s="1"/>
  <c r="D85" i="9"/>
  <c r="C86" i="9" s="1"/>
  <c r="F85" i="9"/>
  <c r="G85" i="9" s="1"/>
  <c r="F82" i="8"/>
  <c r="G82" i="8" s="1"/>
  <c r="C83" i="8"/>
  <c r="D82" i="7"/>
  <c r="F82" i="7" s="1"/>
  <c r="G82" i="7" s="1"/>
  <c r="C83" i="7"/>
  <c r="E98" i="5"/>
  <c r="F86" i="5"/>
  <c r="G86" i="5" s="1"/>
  <c r="D87" i="5"/>
  <c r="F87" i="5" s="1"/>
  <c r="G87" i="5" s="1"/>
  <c r="D91" i="14" l="1"/>
  <c r="E103" i="14" s="1"/>
  <c r="E102" i="14"/>
  <c r="F97" i="12"/>
  <c r="G97" i="12" s="1"/>
  <c r="E97" i="9"/>
  <c r="D86" i="9"/>
  <c r="E98" i="9" s="1"/>
  <c r="D83" i="8"/>
  <c r="E95" i="8"/>
  <c r="E94" i="7"/>
  <c r="D83" i="7"/>
  <c r="F83" i="7" s="1"/>
  <c r="G83" i="7" s="1"/>
  <c r="E99" i="5"/>
  <c r="C88" i="5"/>
  <c r="C92" i="14" l="1"/>
  <c r="F91" i="14"/>
  <c r="G91" i="14" s="1"/>
  <c r="C98" i="12"/>
  <c r="D98" i="12" s="1"/>
  <c r="F86" i="9"/>
  <c r="G86" i="9" s="1"/>
  <c r="C87" i="9"/>
  <c r="C84" i="8"/>
  <c r="F83" i="8"/>
  <c r="G83" i="8" s="1"/>
  <c r="C84" i="7"/>
  <c r="E95" i="7"/>
  <c r="D84" i="7"/>
  <c r="F84" i="7"/>
  <c r="G84" i="7" s="1"/>
  <c r="D88" i="5"/>
  <c r="C89" i="5" s="1"/>
  <c r="D92" i="14" l="1"/>
  <c r="E104" i="14"/>
  <c r="F92" i="14"/>
  <c r="G92" i="14" s="1"/>
  <c r="C93" i="14"/>
  <c r="C99" i="12"/>
  <c r="D99" i="12" s="1"/>
  <c r="D87" i="9"/>
  <c r="E99" i="9" s="1"/>
  <c r="F87" i="9"/>
  <c r="G87" i="9" s="1"/>
  <c r="D84" i="8"/>
  <c r="E96" i="7"/>
  <c r="C85" i="7"/>
  <c r="E100" i="5"/>
  <c r="F88" i="5"/>
  <c r="G88" i="5" s="1"/>
  <c r="D89" i="5"/>
  <c r="C90" i="5" s="1"/>
  <c r="D93" i="14" l="1"/>
  <c r="F93" i="14" s="1"/>
  <c r="G93" i="14" s="1"/>
  <c r="C94" i="14"/>
  <c r="F99" i="12"/>
  <c r="G99" i="12" s="1"/>
  <c r="F98" i="12"/>
  <c r="G98" i="12" s="1"/>
  <c r="C88" i="9"/>
  <c r="F84" i="8"/>
  <c r="G84" i="8" s="1"/>
  <c r="C85" i="8"/>
  <c r="E96" i="8"/>
  <c r="D85" i="7"/>
  <c r="F85" i="7" s="1"/>
  <c r="C86" i="7"/>
  <c r="G85" i="7"/>
  <c r="E101" i="5"/>
  <c r="D90" i="5"/>
  <c r="C91" i="5" s="1"/>
  <c r="F89" i="5"/>
  <c r="G89" i="5" s="1"/>
  <c r="D94" i="14" l="1"/>
  <c r="E106" i="14" s="1"/>
  <c r="E105" i="14"/>
  <c r="C100" i="12"/>
  <c r="D100" i="12" s="1"/>
  <c r="D88" i="9"/>
  <c r="C89" i="9" s="1"/>
  <c r="D85" i="8"/>
  <c r="E97" i="8"/>
  <c r="C86" i="8"/>
  <c r="F85" i="8"/>
  <c r="G85" i="8" s="1"/>
  <c r="E97" i="7"/>
  <c r="D86" i="7"/>
  <c r="E98" i="7" s="1"/>
  <c r="C87" i="7"/>
  <c r="F86" i="7"/>
  <c r="G86" i="7" s="1"/>
  <c r="E102" i="5"/>
  <c r="F90" i="5"/>
  <c r="G90" i="5" s="1"/>
  <c r="D91" i="5"/>
  <c r="F91" i="5" s="1"/>
  <c r="G91" i="5" s="1"/>
  <c r="C95" i="14" l="1"/>
  <c r="F94" i="14"/>
  <c r="G94" i="14" s="1"/>
  <c r="C101" i="12"/>
  <c r="D101" i="12" s="1"/>
  <c r="F100" i="12"/>
  <c r="G100" i="12" s="1"/>
  <c r="F88" i="9"/>
  <c r="G88" i="9" s="1"/>
  <c r="E100" i="9"/>
  <c r="D89" i="9"/>
  <c r="E101" i="9" s="1"/>
  <c r="D86" i="8"/>
  <c r="E98" i="8"/>
  <c r="C87" i="8"/>
  <c r="F86" i="8"/>
  <c r="G86" i="8" s="1"/>
  <c r="D87" i="7"/>
  <c r="E99" i="7" s="1"/>
  <c r="E103" i="5"/>
  <c r="C92" i="5"/>
  <c r="D95" i="14" l="1"/>
  <c r="E107" i="14"/>
  <c r="F95" i="14"/>
  <c r="G95" i="14" s="1"/>
  <c r="C96" i="14"/>
  <c r="F101" i="12"/>
  <c r="G101" i="12" s="1"/>
  <c r="F89" i="9"/>
  <c r="G89" i="9" s="1"/>
  <c r="C90" i="9"/>
  <c r="D87" i="8"/>
  <c r="C88" i="8" s="1"/>
  <c r="E99" i="8"/>
  <c r="F87" i="8"/>
  <c r="G87" i="8" s="1"/>
  <c r="C88" i="7"/>
  <c r="F87" i="7"/>
  <c r="G87" i="7" s="1"/>
  <c r="D92" i="5"/>
  <c r="C93" i="5" s="1"/>
  <c r="D96" i="14" l="1"/>
  <c r="F96" i="14" s="1"/>
  <c r="G96" i="14" s="1"/>
  <c r="C97" i="14"/>
  <c r="C102" i="12"/>
  <c r="D102" i="12" s="1"/>
  <c r="D90" i="9"/>
  <c r="E102" i="9" s="1"/>
  <c r="D88" i="8"/>
  <c r="F88" i="8" s="1"/>
  <c r="G88" i="8" s="1"/>
  <c r="E100" i="8"/>
  <c r="C89" i="8"/>
  <c r="D88" i="7"/>
  <c r="E100" i="7" s="1"/>
  <c r="C89" i="7"/>
  <c r="F88" i="7"/>
  <c r="G88" i="7" s="1"/>
  <c r="E104" i="5"/>
  <c r="D93" i="5"/>
  <c r="F93" i="5" s="1"/>
  <c r="G93" i="5" s="1"/>
  <c r="F92" i="5"/>
  <c r="G92" i="5" s="1"/>
  <c r="D97" i="14" l="1"/>
  <c r="E109" i="14" s="1"/>
  <c r="C98" i="14"/>
  <c r="E108" i="14"/>
  <c r="C103" i="12"/>
  <c r="D103" i="12" s="1"/>
  <c r="F90" i="9"/>
  <c r="G90" i="9" s="1"/>
  <c r="C91" i="9"/>
  <c r="D89" i="8"/>
  <c r="E101" i="8" s="1"/>
  <c r="C90" i="8"/>
  <c r="D89" i="7"/>
  <c r="E101" i="7" s="1"/>
  <c r="C90" i="7"/>
  <c r="F89" i="7"/>
  <c r="G89" i="7" s="1"/>
  <c r="E105" i="5"/>
  <c r="C94" i="5"/>
  <c r="D98" i="14" l="1"/>
  <c r="F98" i="14" s="1"/>
  <c r="G98" i="14" s="1"/>
  <c r="C99" i="14"/>
  <c r="F97" i="14"/>
  <c r="G97" i="14" s="1"/>
  <c r="F103" i="12"/>
  <c r="G103" i="12" s="1"/>
  <c r="F102" i="12"/>
  <c r="G102" i="12" s="1"/>
  <c r="D91" i="9"/>
  <c r="C92" i="9" s="1"/>
  <c r="D90" i="8"/>
  <c r="E102" i="8"/>
  <c r="F90" i="8"/>
  <c r="G90" i="8" s="1"/>
  <c r="F89" i="8"/>
  <c r="G89" i="8" s="1"/>
  <c r="D90" i="7"/>
  <c r="E102" i="7" s="1"/>
  <c r="C91" i="7"/>
  <c r="D94" i="5"/>
  <c r="C95" i="5" s="1"/>
  <c r="F94" i="5"/>
  <c r="G94" i="5" s="1"/>
  <c r="D99" i="14" l="1"/>
  <c r="E111" i="14" s="1"/>
  <c r="E110" i="14"/>
  <c r="C104" i="12"/>
  <c r="D104" i="12" s="1"/>
  <c r="F91" i="9"/>
  <c r="G91" i="9" s="1"/>
  <c r="E103" i="9"/>
  <c r="D92" i="9"/>
  <c r="E104" i="9" s="1"/>
  <c r="C91" i="8"/>
  <c r="D91" i="7"/>
  <c r="E103" i="7" s="1"/>
  <c r="F90" i="7"/>
  <c r="G90" i="7" s="1"/>
  <c r="E106" i="5"/>
  <c r="D95" i="5"/>
  <c r="F95" i="5" s="1"/>
  <c r="G95" i="5" s="1"/>
  <c r="C100" i="14" l="1"/>
  <c r="F99" i="14"/>
  <c r="G99" i="14" s="1"/>
  <c r="C105" i="12"/>
  <c r="D105" i="12" s="1"/>
  <c r="F92" i="9"/>
  <c r="G92" i="9" s="1"/>
  <c r="C93" i="9"/>
  <c r="D91" i="8"/>
  <c r="E103" i="8" s="1"/>
  <c r="C92" i="8"/>
  <c r="E107" i="5"/>
  <c r="C96" i="5"/>
  <c r="D100" i="14" l="1"/>
  <c r="E112" i="14"/>
  <c r="F100" i="14"/>
  <c r="G100" i="14" s="1"/>
  <c r="C101" i="14"/>
  <c r="F105" i="12"/>
  <c r="G105" i="12" s="1"/>
  <c r="F104" i="12"/>
  <c r="G104" i="12" s="1"/>
  <c r="D93" i="9"/>
  <c r="C94" i="9" s="1"/>
  <c r="D92" i="8"/>
  <c r="E104" i="8"/>
  <c r="F91" i="8"/>
  <c r="G91" i="8" s="1"/>
  <c r="C92" i="7"/>
  <c r="F91" i="7"/>
  <c r="G91" i="7" s="1"/>
  <c r="D96" i="5"/>
  <c r="C97" i="5" s="1"/>
  <c r="D101" i="14" l="1"/>
  <c r="F101" i="14" s="1"/>
  <c r="G101" i="14" s="1"/>
  <c r="C102" i="14"/>
  <c r="C106" i="12"/>
  <c r="D106" i="12" s="1"/>
  <c r="F93" i="9"/>
  <c r="G93" i="9" s="1"/>
  <c r="E105" i="9"/>
  <c r="D94" i="9"/>
  <c r="E106" i="9" s="1"/>
  <c r="F92" i="8"/>
  <c r="G92" i="8" s="1"/>
  <c r="C93" i="8"/>
  <c r="D92" i="7"/>
  <c r="F92" i="7" s="1"/>
  <c r="G92" i="7" s="1"/>
  <c r="E108" i="5"/>
  <c r="F96" i="5"/>
  <c r="G96" i="5" s="1"/>
  <c r="D97" i="5"/>
  <c r="F97" i="5" s="1"/>
  <c r="G97" i="5" s="1"/>
  <c r="D102" i="14" l="1"/>
  <c r="E114" i="14" s="1"/>
  <c r="C103" i="14"/>
  <c r="E113" i="14"/>
  <c r="C107" i="12"/>
  <c r="D107" i="12" s="1"/>
  <c r="F106" i="12"/>
  <c r="G106" i="12" s="1"/>
  <c r="F94" i="9"/>
  <c r="G94" i="9" s="1"/>
  <c r="C95" i="9"/>
  <c r="D93" i="8"/>
  <c r="F93" i="8" s="1"/>
  <c r="G93" i="8" s="1"/>
  <c r="C94" i="8"/>
  <c r="E104" i="7"/>
  <c r="C93" i="7"/>
  <c r="E109" i="5"/>
  <c r="C98" i="5"/>
  <c r="D103" i="14" l="1"/>
  <c r="E115" i="14" s="1"/>
  <c r="F103" i="14"/>
  <c r="G103" i="14" s="1"/>
  <c r="C104" i="14"/>
  <c r="F102" i="14"/>
  <c r="G102" i="14" s="1"/>
  <c r="F107" i="12"/>
  <c r="G107" i="12" s="1"/>
  <c r="D95" i="9"/>
  <c r="E107" i="9" s="1"/>
  <c r="D94" i="8"/>
  <c r="E106" i="8" s="1"/>
  <c r="E105" i="8"/>
  <c r="F94" i="8"/>
  <c r="G94" i="8" s="1"/>
  <c r="D93" i="7"/>
  <c r="E105" i="7" s="1"/>
  <c r="D98" i="5"/>
  <c r="C99" i="5" s="1"/>
  <c r="D104" i="14" l="1"/>
  <c r="F104" i="14" s="1"/>
  <c r="G104" i="14" s="1"/>
  <c r="C105" i="14"/>
  <c r="C108" i="12"/>
  <c r="D108" i="12" s="1"/>
  <c r="F95" i="9"/>
  <c r="G95" i="9" s="1"/>
  <c r="C96" i="9"/>
  <c r="C95" i="8"/>
  <c r="F93" i="7"/>
  <c r="G93" i="7" s="1"/>
  <c r="C94" i="7"/>
  <c r="E110" i="5"/>
  <c r="F98" i="5"/>
  <c r="G98" i="5" s="1"/>
  <c r="D99" i="5"/>
  <c r="F99" i="5" s="1"/>
  <c r="G99" i="5" s="1"/>
  <c r="D105" i="14" l="1"/>
  <c r="E117" i="14" s="1"/>
  <c r="C106" i="14"/>
  <c r="E116" i="14"/>
  <c r="C109" i="12"/>
  <c r="D109" i="12" s="1"/>
  <c r="F108" i="12"/>
  <c r="G108" i="12" s="1"/>
  <c r="D96" i="9"/>
  <c r="E108" i="9" s="1"/>
  <c r="F96" i="9"/>
  <c r="G96" i="9" s="1"/>
  <c r="D95" i="8"/>
  <c r="E107" i="8"/>
  <c r="F95" i="8"/>
  <c r="G95" i="8" s="1"/>
  <c r="C96" i="8"/>
  <c r="D94" i="7"/>
  <c r="C95" i="7" s="1"/>
  <c r="E111" i="5"/>
  <c r="C100" i="5"/>
  <c r="D106" i="14" l="1"/>
  <c r="F106" i="14" s="1"/>
  <c r="G106" i="14" s="1"/>
  <c r="C107" i="14"/>
  <c r="F105" i="14"/>
  <c r="G105" i="14" s="1"/>
  <c r="F109" i="12"/>
  <c r="G109" i="12" s="1"/>
  <c r="C97" i="9"/>
  <c r="D96" i="8"/>
  <c r="E108" i="8" s="1"/>
  <c r="E106" i="7"/>
  <c r="D95" i="7"/>
  <c r="E107" i="7" s="1"/>
  <c r="F94" i="7"/>
  <c r="G94" i="7" s="1"/>
  <c r="C96" i="7"/>
  <c r="D100" i="5"/>
  <c r="C101" i="5" s="1"/>
  <c r="D107" i="14" l="1"/>
  <c r="F107" i="14" s="1"/>
  <c r="G107" i="14" s="1"/>
  <c r="C110" i="12"/>
  <c r="D110" i="12" s="1"/>
  <c r="D97" i="9"/>
  <c r="E109" i="9" s="1"/>
  <c r="F96" i="8"/>
  <c r="G96" i="8" s="1"/>
  <c r="C97" i="8"/>
  <c r="F95" i="7"/>
  <c r="G95" i="7" s="1"/>
  <c r="D96" i="7"/>
  <c r="E108" i="7" s="1"/>
  <c r="C97" i="7"/>
  <c r="E112" i="5"/>
  <c r="D101" i="5"/>
  <c r="C102" i="5" s="1"/>
  <c r="F100" i="5"/>
  <c r="G100" i="5" s="1"/>
  <c r="C108" i="14" l="1"/>
  <c r="C111" i="12"/>
  <c r="D111" i="12" s="1"/>
  <c r="F110" i="12"/>
  <c r="G110" i="12" s="1"/>
  <c r="F97" i="9"/>
  <c r="G97" i="9" s="1"/>
  <c r="C98" i="9"/>
  <c r="D97" i="8"/>
  <c r="E109" i="8"/>
  <c r="D97" i="7"/>
  <c r="E109" i="7" s="1"/>
  <c r="F97" i="7"/>
  <c r="G97" i="7" s="1"/>
  <c r="F96" i="7"/>
  <c r="G96" i="7" s="1"/>
  <c r="E113" i="5"/>
  <c r="D102" i="5"/>
  <c r="C103" i="5" s="1"/>
  <c r="F101" i="5"/>
  <c r="G101" i="5" s="1"/>
  <c r="D108" i="14" l="1"/>
  <c r="F108" i="14"/>
  <c r="G108" i="14" s="1"/>
  <c r="C109" i="14"/>
  <c r="F111" i="12"/>
  <c r="G111" i="12" s="1"/>
  <c r="D98" i="9"/>
  <c r="E110" i="9" s="1"/>
  <c r="F98" i="9"/>
  <c r="G98" i="9" s="1"/>
  <c r="F97" i="8"/>
  <c r="G97" i="8" s="1"/>
  <c r="C98" i="8"/>
  <c r="C98" i="7"/>
  <c r="F102" i="5"/>
  <c r="G102" i="5" s="1"/>
  <c r="E114" i="5"/>
  <c r="D103" i="5"/>
  <c r="F103" i="5" s="1"/>
  <c r="G103" i="5" s="1"/>
  <c r="D109" i="14" l="1"/>
  <c r="F109" i="14" s="1"/>
  <c r="G109" i="14" s="1"/>
  <c r="C112" i="12"/>
  <c r="D112" i="12" s="1"/>
  <c r="C99" i="9"/>
  <c r="D98" i="8"/>
  <c r="E110" i="8" s="1"/>
  <c r="D98" i="7"/>
  <c r="E110" i="7" s="1"/>
  <c r="C99" i="7"/>
  <c r="E115" i="5"/>
  <c r="C104" i="5"/>
  <c r="C110" i="14" l="1"/>
  <c r="C113" i="12"/>
  <c r="D113" i="12" s="1"/>
  <c r="F112" i="12"/>
  <c r="G112" i="12" s="1"/>
  <c r="D99" i="9"/>
  <c r="C100" i="9" s="1"/>
  <c r="F99" i="9"/>
  <c r="G99" i="9" s="1"/>
  <c r="F98" i="8"/>
  <c r="G98" i="8" s="1"/>
  <c r="C99" i="8"/>
  <c r="D99" i="7"/>
  <c r="E111" i="7" s="1"/>
  <c r="F98" i="7"/>
  <c r="G98" i="7" s="1"/>
  <c r="D104" i="5"/>
  <c r="C105" i="5" s="1"/>
  <c r="F104" i="5"/>
  <c r="G104" i="5" s="1"/>
  <c r="D110" i="14" l="1"/>
  <c r="F110" i="14" s="1"/>
  <c r="G110" i="14" s="1"/>
  <c r="F113" i="12"/>
  <c r="G113" i="12" s="1"/>
  <c r="E111" i="9"/>
  <c r="D100" i="9"/>
  <c r="E112" i="9" s="1"/>
  <c r="F100" i="9"/>
  <c r="G100" i="9" s="1"/>
  <c r="D99" i="8"/>
  <c r="E111" i="8" s="1"/>
  <c r="C100" i="8"/>
  <c r="F99" i="8"/>
  <c r="G99" i="8" s="1"/>
  <c r="F99" i="7"/>
  <c r="G99" i="7" s="1"/>
  <c r="C100" i="7"/>
  <c r="E116" i="5"/>
  <c r="D105" i="5"/>
  <c r="F105" i="5" s="1"/>
  <c r="G105" i="5" s="1"/>
  <c r="C111" i="14" l="1"/>
  <c r="C114" i="12"/>
  <c r="D114" i="12" s="1"/>
  <c r="C101" i="9"/>
  <c r="D100" i="8"/>
  <c r="E112" i="8"/>
  <c r="F100" i="8"/>
  <c r="G100" i="8" s="1"/>
  <c r="C101" i="8"/>
  <c r="D100" i="7"/>
  <c r="E112" i="7" s="1"/>
  <c r="E117" i="5"/>
  <c r="C106" i="5"/>
  <c r="D111" i="14" l="1"/>
  <c r="F111" i="14"/>
  <c r="G111" i="14" s="1"/>
  <c r="C112" i="14"/>
  <c r="C115" i="12"/>
  <c r="D115" i="12" s="1"/>
  <c r="D101" i="9"/>
  <c r="E113" i="9" s="1"/>
  <c r="F101" i="9"/>
  <c r="G101" i="9" s="1"/>
  <c r="D101" i="8"/>
  <c r="E113" i="8"/>
  <c r="C102" i="8"/>
  <c r="F101" i="8"/>
  <c r="G101" i="8" s="1"/>
  <c r="F100" i="7"/>
  <c r="G100" i="7" s="1"/>
  <c r="C101" i="7"/>
  <c r="D106" i="5"/>
  <c r="C107" i="5" s="1"/>
  <c r="D112" i="14" l="1"/>
  <c r="F112" i="14" s="1"/>
  <c r="G112" i="14" s="1"/>
  <c r="C116" i="12"/>
  <c r="D116" i="12" s="1"/>
  <c r="F114" i="12"/>
  <c r="G114" i="12" s="1"/>
  <c r="C102" i="9"/>
  <c r="D102" i="8"/>
  <c r="E114" i="8"/>
  <c r="D101" i="7"/>
  <c r="C102" i="7" s="1"/>
  <c r="F106" i="5"/>
  <c r="G106" i="5" s="1"/>
  <c r="D107" i="5"/>
  <c r="C108" i="5" s="1"/>
  <c r="C113" i="14" l="1"/>
  <c r="C117" i="12"/>
  <c r="F115" i="12"/>
  <c r="G115" i="12" s="1"/>
  <c r="D102" i="9"/>
  <c r="C103" i="9" s="1"/>
  <c r="F102" i="8"/>
  <c r="G102" i="8" s="1"/>
  <c r="C103" i="8"/>
  <c r="E114" i="7"/>
  <c r="E113" i="7"/>
  <c r="F101" i="7"/>
  <c r="G101" i="7" s="1"/>
  <c r="D102" i="7"/>
  <c r="F102" i="7"/>
  <c r="G102" i="7" s="1"/>
  <c r="D108" i="5"/>
  <c r="C109" i="5" s="1"/>
  <c r="F107" i="5"/>
  <c r="G107" i="5" s="1"/>
  <c r="D113" i="14" l="1"/>
  <c r="F113" i="14"/>
  <c r="G113" i="14" s="1"/>
  <c r="C114" i="14"/>
  <c r="D117" i="12"/>
  <c r="F117" i="12" s="1"/>
  <c r="G117" i="12" s="1"/>
  <c r="F116" i="12"/>
  <c r="G116" i="12" s="1"/>
  <c r="F102" i="9"/>
  <c r="G102" i="9" s="1"/>
  <c r="E114" i="9"/>
  <c r="D103" i="9"/>
  <c r="C104" i="9" s="1"/>
  <c r="F103" i="9"/>
  <c r="G103" i="9" s="1"/>
  <c r="D103" i="8"/>
  <c r="E115" i="8"/>
  <c r="C103" i="7"/>
  <c r="D109" i="5"/>
  <c r="F109" i="5" s="1"/>
  <c r="G109" i="5" s="1"/>
  <c r="F108" i="5"/>
  <c r="G108" i="5" s="1"/>
  <c r="D114" i="14" l="1"/>
  <c r="F114" i="14" s="1"/>
  <c r="G114" i="14" s="1"/>
  <c r="J10" i="12"/>
  <c r="E115" i="9"/>
  <c r="D104" i="9"/>
  <c r="C105" i="9" s="1"/>
  <c r="F103" i="8"/>
  <c r="G103" i="8" s="1"/>
  <c r="C104" i="8"/>
  <c r="E115" i="7"/>
  <c r="D103" i="7"/>
  <c r="C104" i="7" s="1"/>
  <c r="C110" i="5"/>
  <c r="C115" i="14" l="1"/>
  <c r="F104" i="9"/>
  <c r="G104" i="9" s="1"/>
  <c r="E116" i="9"/>
  <c r="D105" i="9"/>
  <c r="C106" i="9" s="1"/>
  <c r="D104" i="8"/>
  <c r="C105" i="8" s="1"/>
  <c r="D104" i="7"/>
  <c r="C105" i="7" s="1"/>
  <c r="F103" i="7"/>
  <c r="G103" i="7" s="1"/>
  <c r="D110" i="5"/>
  <c r="C111" i="5" s="1"/>
  <c r="D115" i="14" l="1"/>
  <c r="F115" i="14" s="1"/>
  <c r="G115" i="14" s="1"/>
  <c r="C116" i="14"/>
  <c r="F105" i="9"/>
  <c r="G105" i="9" s="1"/>
  <c r="E117" i="9"/>
  <c r="D106" i="9"/>
  <c r="C107" i="9" s="1"/>
  <c r="E116" i="8"/>
  <c r="D105" i="8"/>
  <c r="E117" i="8" s="1"/>
  <c r="F104" i="8"/>
  <c r="G104" i="8" s="1"/>
  <c r="E117" i="7"/>
  <c r="F104" i="7"/>
  <c r="G104" i="7" s="1"/>
  <c r="E116" i="7"/>
  <c r="D105" i="7"/>
  <c r="F110" i="5"/>
  <c r="G110" i="5" s="1"/>
  <c r="D111" i="5"/>
  <c r="F111" i="5" s="1"/>
  <c r="G111" i="5" s="1"/>
  <c r="D116" i="14" l="1"/>
  <c r="F116" i="14"/>
  <c r="G116" i="14" s="1"/>
  <c r="C117" i="14"/>
  <c r="D107" i="9"/>
  <c r="C108" i="9" s="1"/>
  <c r="F107" i="9"/>
  <c r="G107" i="9" s="1"/>
  <c r="F106" i="9"/>
  <c r="G106" i="9" s="1"/>
  <c r="F105" i="8"/>
  <c r="G105" i="8" s="1"/>
  <c r="C106" i="8"/>
  <c r="D106" i="8" s="1"/>
  <c r="C107" i="8" s="1"/>
  <c r="F105" i="7"/>
  <c r="G105" i="7" s="1"/>
  <c r="C106" i="7"/>
  <c r="D106" i="7" s="1"/>
  <c r="C112" i="5"/>
  <c r="D117" i="14" l="1"/>
  <c r="F117" i="14" s="1"/>
  <c r="G117" i="14" s="1"/>
  <c r="J10" i="14" s="1"/>
  <c r="D108" i="9"/>
  <c r="C109" i="9" s="1"/>
  <c r="D107" i="8"/>
  <c r="C108" i="8" s="1"/>
  <c r="F106" i="8"/>
  <c r="G106" i="8" s="1"/>
  <c r="F107" i="8"/>
  <c r="G107" i="8" s="1"/>
  <c r="C107" i="7"/>
  <c r="D107" i="7" s="1"/>
  <c r="D112" i="5"/>
  <c r="C113" i="5" s="1"/>
  <c r="D109" i="9" l="1"/>
  <c r="C110" i="9" s="1"/>
  <c r="F108" i="9"/>
  <c r="G108" i="9" s="1"/>
  <c r="D108" i="8"/>
  <c r="F108" i="8" s="1"/>
  <c r="G108" i="8" s="1"/>
  <c r="C109" i="8"/>
  <c r="D109" i="8" s="1"/>
  <c r="F107" i="7"/>
  <c r="G107" i="7" s="1"/>
  <c r="F106" i="7"/>
  <c r="G106" i="7" s="1"/>
  <c r="F112" i="5"/>
  <c r="G112" i="5" s="1"/>
  <c r="D113" i="5"/>
  <c r="F113" i="5" s="1"/>
  <c r="G113" i="5" s="1"/>
  <c r="D110" i="9" l="1"/>
  <c r="C111" i="9" s="1"/>
  <c r="F109" i="9"/>
  <c r="G109" i="9" s="1"/>
  <c r="C110" i="8"/>
  <c r="D110" i="8" s="1"/>
  <c r="C111" i="8" s="1"/>
  <c r="D111" i="8" s="1"/>
  <c r="F109" i="8"/>
  <c r="G109" i="8" s="1"/>
  <c r="C108" i="7"/>
  <c r="D108" i="7" s="1"/>
  <c r="C114" i="5"/>
  <c r="D111" i="9" l="1"/>
  <c r="F111" i="9" s="1"/>
  <c r="G111" i="9" s="1"/>
  <c r="F110" i="9"/>
  <c r="G110" i="9" s="1"/>
  <c r="C112" i="8"/>
  <c r="D112" i="8" s="1"/>
  <c r="F111" i="8"/>
  <c r="G111" i="8" s="1"/>
  <c r="F110" i="8"/>
  <c r="G110" i="8" s="1"/>
  <c r="F108" i="7"/>
  <c r="G108" i="7" s="1"/>
  <c r="C109" i="7"/>
  <c r="D109" i="7" s="1"/>
  <c r="D114" i="5"/>
  <c r="C115" i="5" s="1"/>
  <c r="C112" i="9" l="1"/>
  <c r="C113" i="8"/>
  <c r="D113" i="8" s="1"/>
  <c r="C110" i="7"/>
  <c r="D110" i="7" s="1"/>
  <c r="D115" i="5"/>
  <c r="F115" i="5" s="1"/>
  <c r="G115" i="5" s="1"/>
  <c r="F114" i="5"/>
  <c r="G114" i="5" s="1"/>
  <c r="D112" i="9" l="1"/>
  <c r="C113" i="9" s="1"/>
  <c r="F112" i="9"/>
  <c r="G112" i="9" s="1"/>
  <c r="C114" i="8"/>
  <c r="D114" i="8" s="1"/>
  <c r="F112" i="8"/>
  <c r="G112" i="8" s="1"/>
  <c r="C111" i="7"/>
  <c r="D111" i="7" s="1"/>
  <c r="F110" i="7"/>
  <c r="G110" i="7" s="1"/>
  <c r="F109" i="7"/>
  <c r="G109" i="7" s="1"/>
  <c r="C116" i="5"/>
  <c r="D113" i="9" l="1"/>
  <c r="C114" i="9" s="1"/>
  <c r="C115" i="8"/>
  <c r="D115" i="8" s="1"/>
  <c r="F114" i="8"/>
  <c r="G114" i="8" s="1"/>
  <c r="F113" i="8"/>
  <c r="G113" i="8" s="1"/>
  <c r="F111" i="7"/>
  <c r="G111" i="7" s="1"/>
  <c r="D116" i="5"/>
  <c r="F116" i="5" s="1"/>
  <c r="G116" i="5" s="1"/>
  <c r="D114" i="9" l="1"/>
  <c r="C115" i="9" s="1"/>
  <c r="F114" i="9"/>
  <c r="G114" i="9" s="1"/>
  <c r="F113" i="9"/>
  <c r="G113" i="9" s="1"/>
  <c r="C116" i="8"/>
  <c r="D116" i="8" s="1"/>
  <c r="C112" i="7"/>
  <c r="D112" i="7" s="1"/>
  <c r="C117" i="5"/>
  <c r="D117" i="5" s="1"/>
  <c r="F117" i="5" s="1"/>
  <c r="G117" i="5" s="1"/>
  <c r="J10" i="5" s="1"/>
  <c r="D115" i="9" l="1"/>
  <c r="C116" i="9" s="1"/>
  <c r="C117" i="8"/>
  <c r="D117" i="8" s="1"/>
  <c r="F116" i="8"/>
  <c r="G116" i="8" s="1"/>
  <c r="F115" i="8"/>
  <c r="G115" i="8" s="1"/>
  <c r="F112" i="7"/>
  <c r="G112" i="7" s="1"/>
  <c r="D116" i="9" l="1"/>
  <c r="C117" i="9" s="1"/>
  <c r="F115" i="9"/>
  <c r="G115" i="9" s="1"/>
  <c r="F117" i="8"/>
  <c r="G117" i="8" s="1"/>
  <c r="J10" i="8" s="1"/>
  <c r="C113" i="7"/>
  <c r="D113" i="7" s="1"/>
  <c r="D117" i="9" l="1"/>
  <c r="F117" i="9"/>
  <c r="G117" i="9" s="1"/>
  <c r="J10" i="9" s="1"/>
  <c r="F116" i="9"/>
  <c r="G116" i="9" s="1"/>
  <c r="F113" i="7"/>
  <c r="G113" i="7" s="1"/>
  <c r="C114" i="7" l="1"/>
  <c r="D114" i="7" s="1"/>
  <c r="C115" i="7" l="1"/>
  <c r="D115" i="7" s="1"/>
  <c r="C116" i="7" l="1"/>
  <c r="D116" i="7" s="1"/>
  <c r="F115" i="7"/>
  <c r="G115" i="7" s="1"/>
  <c r="F114" i="7"/>
  <c r="G114" i="7" s="1"/>
  <c r="F116" i="7" l="1"/>
  <c r="G116" i="7" s="1"/>
  <c r="C117" i="7" l="1"/>
  <c r="D117" i="7" s="1"/>
  <c r="F117" i="7" l="1"/>
  <c r="G117" i="7" s="1"/>
  <c r="J10"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<sst xmlns="http://schemas.openxmlformats.org/spreadsheetml/2006/main" count="169" uniqueCount="56">
  <si>
    <t>Holt Linear Trend</t>
  </si>
  <si>
    <t xml:space="preserve"> alpha </t>
  </si>
  <si>
    <t>Month</t>
  </si>
  <si>
    <t>Thousands of Passengers</t>
  </si>
  <si>
    <t>Level</t>
  </si>
  <si>
    <t xml:space="preserve"> Trend </t>
  </si>
  <si>
    <t>Seasonality</t>
  </si>
  <si>
    <t>Squared Error</t>
  </si>
  <si>
    <t>Sum Squared Error</t>
  </si>
  <si>
    <t>beta</t>
  </si>
  <si>
    <t>gamma</t>
  </si>
  <si>
    <t>m</t>
  </si>
  <si>
    <t>Base Model</t>
  </si>
  <si>
    <t>SES</t>
  </si>
  <si>
    <r>
      <t xml:space="preserve">In the </t>
    </r>
    <r>
      <rPr>
        <b/>
        <sz val="11"/>
        <color theme="1"/>
        <rFont val="Calibri"/>
        <family val="2"/>
        <scheme val="minor"/>
      </rPr>
      <t>Base Model</t>
    </r>
    <r>
      <rPr>
        <sz val="11"/>
        <color theme="1"/>
        <rFont val="Calibri"/>
        <family val="2"/>
        <scheme val="minor"/>
      </rPr>
      <t xml:space="preserve">, the best next guess is the </t>
    </r>
    <r>
      <rPr>
        <b/>
        <sz val="11"/>
        <color theme="1"/>
        <rFont val="Calibri"/>
        <family val="2"/>
        <scheme val="minor"/>
      </rPr>
      <t>average</t>
    </r>
    <r>
      <rPr>
        <sz val="11"/>
        <color theme="1"/>
        <rFont val="Calibri"/>
        <family val="2"/>
        <scheme val="minor"/>
      </rPr>
      <t xml:space="preserve"> of all the data that came before. The only thing that the model doesn't give us is the first guess. Try changing the value of the first guess to see what happens to the model.
The Sum of Squared Errors (</t>
    </r>
    <r>
      <rPr>
        <b/>
        <sz val="11"/>
        <color theme="1"/>
        <rFont val="Calibri"/>
        <family val="2"/>
        <scheme val="minor"/>
      </rPr>
      <t>SSE</t>
    </r>
    <r>
      <rPr>
        <sz val="11"/>
        <color theme="1"/>
        <rFont val="Calibri"/>
        <family val="2"/>
        <scheme val="minor"/>
      </rPr>
      <t xml:space="preserve">) is a measure of the overall success of a model in describing the data. The </t>
    </r>
    <r>
      <rPr>
        <b/>
        <sz val="11"/>
        <color theme="1"/>
        <rFont val="Calibri"/>
        <family val="2"/>
        <scheme val="minor"/>
      </rPr>
      <t>lower</t>
    </r>
    <r>
      <rPr>
        <sz val="11"/>
        <color theme="1"/>
        <rFont val="Calibri"/>
        <family val="2"/>
        <scheme val="minor"/>
      </rPr>
      <t xml:space="preserve"> the SSE, the </t>
    </r>
    <r>
      <rPr>
        <b/>
        <sz val="11"/>
        <color theme="1"/>
        <rFont val="Calibri"/>
        <family val="2"/>
        <scheme val="minor"/>
      </rPr>
      <t>better</t>
    </r>
    <r>
      <rPr>
        <sz val="11"/>
        <color theme="1"/>
        <rFont val="Calibri"/>
        <family val="2"/>
        <scheme val="minor"/>
      </rPr>
      <t xml:space="preserve"> the model fits the data.</t>
    </r>
  </si>
  <si>
    <t>tweak this value to optimise the model fit</t>
  </si>
  <si>
    <t>Model Fit</t>
  </si>
  <si>
    <r>
      <t>In the Simple Exponential Smoothing (</t>
    </r>
    <r>
      <rPr>
        <b/>
        <sz val="11"/>
        <color theme="1"/>
        <rFont val="Calibri"/>
        <family val="2"/>
        <scheme val="minor"/>
      </rPr>
      <t>SES</t>
    </r>
    <r>
      <rPr>
        <sz val="11"/>
        <color theme="1"/>
        <rFont val="Calibri"/>
        <family val="2"/>
        <scheme val="minor"/>
      </rPr>
      <t xml:space="preserve">) Model, the best next guess is the </t>
    </r>
    <r>
      <rPr>
        <b/>
        <sz val="11"/>
        <color theme="1"/>
        <rFont val="Calibri"/>
        <family val="2"/>
        <scheme val="minor"/>
      </rPr>
      <t>weighted average</t>
    </r>
    <r>
      <rPr>
        <sz val="11"/>
        <color theme="1"/>
        <rFont val="Calibri"/>
        <family val="2"/>
        <scheme val="minor"/>
      </rPr>
      <t xml:space="preserve"> (with weight </t>
    </r>
    <r>
      <rPr>
        <b/>
        <sz val="11"/>
        <color theme="1"/>
        <rFont val="Calibri"/>
        <family val="2"/>
        <scheme val="minor"/>
      </rPr>
      <t>alpha</t>
    </r>
    <r>
      <rPr>
        <sz val="11"/>
        <color theme="1"/>
        <rFont val="Calibri"/>
        <family val="2"/>
        <scheme val="minor"/>
      </rPr>
      <t xml:space="preserve">) of all the data that came before. Try changing the value of alpha to see what happens to the model.
The SES Model is composed of the </t>
    </r>
    <r>
      <rPr>
        <b/>
        <sz val="11"/>
        <color theme="1"/>
        <rFont val="Calibri"/>
        <family val="2"/>
        <scheme val="minor"/>
      </rPr>
      <t>Level</t>
    </r>
    <r>
      <rPr>
        <sz val="11"/>
        <color theme="1"/>
        <rFont val="Calibri"/>
        <family val="2"/>
        <scheme val="minor"/>
      </rPr>
      <t xml:space="preserve"> only.</t>
    </r>
  </si>
  <si>
    <t>Model</t>
  </si>
  <si>
    <r>
      <t xml:space="preserve">We can adapt the Holt-Winters model by making the Trend and/or the Seasonality multiplicative. This allows for an exponential trend or for an increasing seasonality.
</t>
    </r>
    <r>
      <rPr>
        <b/>
        <sz val="11"/>
        <color theme="1"/>
        <rFont val="Calibri"/>
        <family val="2"/>
        <scheme val="minor"/>
      </rPr>
      <t xml:space="preserve">
In this case, the Trend is multiplicative.
Model = Level * Trend + Seasonality</t>
    </r>
  </si>
  <si>
    <r>
      <t xml:space="preserve">We can adapt the Holt-Winters model by making the Trend and/or the Seasonality multiplicative. This allows for an exponential trend or for an increasing seasonality.
</t>
    </r>
    <r>
      <rPr>
        <b/>
        <sz val="11"/>
        <color theme="1"/>
        <rFont val="Calibri"/>
        <family val="2"/>
        <scheme val="minor"/>
      </rPr>
      <t xml:space="preserve">
In this case, the Trend and Seasonality are both multiplicative.
Model = Level * Trend * Seasonality</t>
    </r>
  </si>
  <si>
    <r>
      <t xml:space="preserve">We can adapt the Holt-Winters model by making the Trend and/or the Seasonality multiplicative. This allows for an exponential trend or for an increasing seasonality.
</t>
    </r>
    <r>
      <rPr>
        <b/>
        <sz val="11"/>
        <color theme="1"/>
        <rFont val="Calibri"/>
        <family val="2"/>
        <scheme val="minor"/>
      </rPr>
      <t xml:space="preserve">
In this case, the Seasonality is multiplicative.
Model = (Level + Trend) * Seasonality</t>
    </r>
  </si>
  <si>
    <r>
      <t xml:space="preserve">In the </t>
    </r>
    <r>
      <rPr>
        <b/>
        <sz val="11"/>
        <color theme="1"/>
        <rFont val="Calibri"/>
        <family val="2"/>
        <scheme val="minor"/>
      </rPr>
      <t>Holt Linear Trend</t>
    </r>
    <r>
      <rPr>
        <sz val="11"/>
        <color theme="1"/>
        <rFont val="Calibri"/>
        <family val="2"/>
        <scheme val="minor"/>
      </rPr>
      <t xml:space="preserve"> Model, the data is split into </t>
    </r>
    <r>
      <rPr>
        <b/>
        <sz val="11"/>
        <color theme="1"/>
        <rFont val="Calibri"/>
        <family val="2"/>
        <scheme val="minor"/>
      </rPr>
      <t>Level</t>
    </r>
    <r>
      <rPr>
        <sz val="11"/>
        <color theme="1"/>
        <rFont val="Calibri"/>
        <family val="2"/>
        <scheme val="minor"/>
      </rPr>
      <t xml:space="preserve"> and </t>
    </r>
    <r>
      <rPr>
        <b/>
        <sz val="11"/>
        <color theme="1"/>
        <rFont val="Calibri"/>
        <family val="2"/>
        <scheme val="minor"/>
      </rPr>
      <t>Trend</t>
    </r>
    <r>
      <rPr>
        <sz val="11"/>
        <color theme="1"/>
        <rFont val="Calibri"/>
        <family val="2"/>
        <scheme val="minor"/>
      </rPr>
      <t xml:space="preserve">. The best next guess for each is based on the </t>
    </r>
    <r>
      <rPr>
        <b/>
        <sz val="11"/>
        <color theme="1"/>
        <rFont val="Calibri"/>
        <family val="2"/>
        <scheme val="minor"/>
      </rPr>
      <t>weighted average</t>
    </r>
    <r>
      <rPr>
        <sz val="11"/>
        <color theme="1"/>
        <rFont val="Calibri"/>
        <family val="2"/>
        <scheme val="minor"/>
      </rPr>
      <t xml:space="preserve"> of the data that came before (with weights </t>
    </r>
    <r>
      <rPr>
        <b/>
        <sz val="11"/>
        <color theme="1"/>
        <rFont val="Calibri"/>
        <family val="2"/>
        <scheme val="minor"/>
      </rPr>
      <t>alpha</t>
    </r>
    <r>
      <rPr>
        <sz val="11"/>
        <color theme="1"/>
        <rFont val="Calibri"/>
        <family val="2"/>
        <scheme val="minor"/>
      </rPr>
      <t xml:space="preserve">, </t>
    </r>
    <r>
      <rPr>
        <b/>
        <sz val="11"/>
        <color theme="1"/>
        <rFont val="Calibri"/>
        <family val="2"/>
        <scheme val="minor"/>
      </rPr>
      <t>beta</t>
    </r>
    <r>
      <rPr>
        <sz val="11"/>
        <color theme="1"/>
        <rFont val="Calibri"/>
        <family val="2"/>
        <scheme val="minor"/>
      </rPr>
      <t xml:space="preserve"> respectively). Try changing the value of alpha and beta to see what happens to the model.
</t>
    </r>
    <r>
      <rPr>
        <b/>
        <sz val="11"/>
        <color theme="1"/>
        <rFont val="Calibri"/>
        <family val="2"/>
        <scheme val="minor"/>
      </rPr>
      <t>Model = Level * Trend</t>
    </r>
  </si>
  <si>
    <t>Holt-Winters (1)</t>
  </si>
  <si>
    <t>Holt-Winters (2)</t>
  </si>
  <si>
    <t>Holt-Winters (3)</t>
  </si>
  <si>
    <t>Holt-Winters (4)</t>
  </si>
  <si>
    <t>Description</t>
  </si>
  <si>
    <t>Holt Linear (1)</t>
  </si>
  <si>
    <t>Holt Linear (2)</t>
  </si>
  <si>
    <t>Flight data model fit - SSE</t>
  </si>
  <si>
    <r>
      <t xml:space="preserve">Plotting the chart of the data, we can see a </t>
    </r>
    <r>
      <rPr>
        <b/>
        <sz val="11"/>
        <color theme="1"/>
        <rFont val="Calibri"/>
        <family val="2"/>
        <scheme val="minor"/>
      </rPr>
      <t xml:space="preserve">linear trend </t>
    </r>
    <r>
      <rPr>
        <sz val="11"/>
        <color theme="1"/>
        <rFont val="Calibri"/>
        <family val="2"/>
        <scheme val="minor"/>
      </rPr>
      <t xml:space="preserve">and an </t>
    </r>
    <r>
      <rPr>
        <b/>
        <sz val="11"/>
        <color theme="1"/>
        <rFont val="Calibri"/>
        <family val="2"/>
        <scheme val="minor"/>
      </rPr>
      <t>increasing seasonality</t>
    </r>
    <r>
      <rPr>
        <sz val="11"/>
        <color theme="1"/>
        <rFont val="Calibri"/>
        <family val="2"/>
        <scheme val="minor"/>
      </rPr>
      <t xml:space="preserve">.
The presence of trend and seasonality suggests we should use the Holt-Winters method.
The linear trend suggests we should use an </t>
    </r>
    <r>
      <rPr>
        <b/>
        <sz val="11"/>
        <color theme="1"/>
        <rFont val="Calibri"/>
        <family val="2"/>
        <scheme val="minor"/>
      </rPr>
      <t>additive Trend</t>
    </r>
    <r>
      <rPr>
        <sz val="11"/>
        <color theme="1"/>
        <rFont val="Calibri"/>
        <family val="2"/>
        <scheme val="minor"/>
      </rPr>
      <t xml:space="preserve">.
The increasing seasonality suggests we should use a </t>
    </r>
    <r>
      <rPr>
        <b/>
        <sz val="11"/>
        <color theme="1"/>
        <rFont val="Calibri"/>
        <family val="2"/>
        <scheme val="minor"/>
      </rPr>
      <t>multiplicative Seasonality</t>
    </r>
    <r>
      <rPr>
        <sz val="11"/>
        <color theme="1"/>
        <rFont val="Calibri"/>
        <family val="2"/>
        <scheme val="minor"/>
      </rPr>
      <t>.
 We can see in the Results table that indeed this is the best fit model for the data.</t>
    </r>
  </si>
  <si>
    <t>This data shows the number of passengers flown on passenger planes over the years 1949 to 1957.
In this workbook, we explore different time series models for predicting the number of passengers in the next month.</t>
  </si>
  <si>
    <t>ETS(N,N)</t>
  </si>
  <si>
    <t>ETS(A,N)</t>
  </si>
  <si>
    <t>ETS(M,N)</t>
  </si>
  <si>
    <t>ETS(A,A)</t>
  </si>
  <si>
    <t>ETS(M,A)</t>
  </si>
  <si>
    <t>ETS(A,M)</t>
  </si>
  <si>
    <t>ETS(M,M)</t>
  </si>
  <si>
    <t>ETS Classification</t>
  </si>
  <si>
    <t>Trend Component</t>
  </si>
  <si>
    <t>Seasonality Component</t>
  </si>
  <si>
    <t>N</t>
  </si>
  <si>
    <t>(None)</t>
  </si>
  <si>
    <t>A</t>
  </si>
  <si>
    <t>(Additive)</t>
  </si>
  <si>
    <t>M</t>
  </si>
  <si>
    <t>(Multiplicative)</t>
  </si>
  <si>
    <t>ETS(N,A)</t>
  </si>
  <si>
    <t>ETS(N,M)</t>
  </si>
  <si>
    <r>
      <t xml:space="preserve">In the </t>
    </r>
    <r>
      <rPr>
        <b/>
        <sz val="11"/>
        <color theme="1"/>
        <rFont val="Calibri"/>
        <family val="2"/>
        <scheme val="minor"/>
      </rPr>
      <t xml:space="preserve">Holt Linear </t>
    </r>
    <r>
      <rPr>
        <sz val="11"/>
        <color theme="1"/>
        <rFont val="Calibri"/>
        <family val="2"/>
        <scheme val="minor"/>
      </rPr>
      <t xml:space="preserve">Model, the data is split into </t>
    </r>
    <r>
      <rPr>
        <b/>
        <sz val="11"/>
        <color theme="1"/>
        <rFont val="Calibri"/>
        <family val="2"/>
        <scheme val="minor"/>
      </rPr>
      <t>Level</t>
    </r>
    <r>
      <rPr>
        <sz val="11"/>
        <color theme="1"/>
        <rFont val="Calibri"/>
        <family val="2"/>
        <scheme val="minor"/>
      </rPr>
      <t xml:space="preserve"> and </t>
    </r>
    <r>
      <rPr>
        <b/>
        <sz val="11"/>
        <color theme="1"/>
        <rFont val="Calibri"/>
        <family val="2"/>
        <scheme val="minor"/>
      </rPr>
      <t>Trend</t>
    </r>
    <r>
      <rPr>
        <sz val="11"/>
        <color theme="1"/>
        <rFont val="Calibri"/>
        <family val="2"/>
        <scheme val="minor"/>
      </rPr>
      <t xml:space="preserve">. The best next guess for each is based on the </t>
    </r>
    <r>
      <rPr>
        <b/>
        <sz val="11"/>
        <color theme="1"/>
        <rFont val="Calibri"/>
        <family val="2"/>
        <scheme val="minor"/>
      </rPr>
      <t>weighted average</t>
    </r>
    <r>
      <rPr>
        <sz val="11"/>
        <color theme="1"/>
        <rFont val="Calibri"/>
        <family val="2"/>
        <scheme val="minor"/>
      </rPr>
      <t xml:space="preserve"> of the data that came before (with weights </t>
    </r>
    <r>
      <rPr>
        <b/>
        <sz val="11"/>
        <color theme="1"/>
        <rFont val="Calibri"/>
        <family val="2"/>
        <scheme val="minor"/>
      </rPr>
      <t>alpha</t>
    </r>
    <r>
      <rPr>
        <sz val="11"/>
        <color theme="1"/>
        <rFont val="Calibri"/>
        <family val="2"/>
        <scheme val="minor"/>
      </rPr>
      <t xml:space="preserve">, </t>
    </r>
    <r>
      <rPr>
        <b/>
        <sz val="11"/>
        <color theme="1"/>
        <rFont val="Calibri"/>
        <family val="2"/>
        <scheme val="minor"/>
      </rPr>
      <t>beta</t>
    </r>
    <r>
      <rPr>
        <sz val="11"/>
        <color theme="1"/>
        <rFont val="Calibri"/>
        <family val="2"/>
        <scheme val="minor"/>
      </rPr>
      <t xml:space="preserve"> respectively). Try changing the value of alpha and beta to see what happens to the model.
</t>
    </r>
    <r>
      <rPr>
        <b/>
        <sz val="11"/>
        <color theme="1"/>
        <rFont val="Calibri"/>
        <family val="2"/>
        <scheme val="minor"/>
      </rPr>
      <t xml:space="preserve">
Model = Level + Trend</t>
    </r>
  </si>
  <si>
    <t>ETS(N,N) - SES</t>
  </si>
  <si>
    <t>ETS(A,N) - Holt Linear</t>
  </si>
  <si>
    <t>ETS(M,N) - Holt Linear Multiplicative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</si>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</sst>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_-* #,##0.0000_-;\-* #,##0.0000_-;_-* &quot;-&quot;??_-;_-@_-"/>
    <numFmt numFmtId="166" formatCode="_-* #,##0.00000_-;\-* #,##0.00000_-;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right style="dotted">
        <color indexed="64"/>
      </right>
      <top style="thin">
        <color indexed="64"/>
      </top>
      <bottom style="thin">
        <color indexed="6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2">
    <xf numFmtId="0" fontId="0" fillId="0" borderId="0" xfId="0"/>
    <xf numFmtId="0" fontId="0" fillId="33" borderId="10" xfId="0" applyFill="1" applyBorder="1"/>
    <xf numFmtId="11" fontId="0" fillId="33" borderId="10" xfId="0" applyNumberFormat="1" applyFill="1" applyBorder="1"/>
    <xf numFmtId="43" fontId="0" fillId="33" borderId="10" xfId="1" applyFont="1" applyFill="1" applyBorder="1"/>
    <xf numFmtId="164" fontId="0" fillId="33" borderId="10" xfId="1" applyNumberFormat="1" applyFont="1" applyFill="1" applyBorder="1"/>
    <xf numFmtId="0" fontId="16" fillId="34" borderId="0" xfId="0" applyFont="1" applyFill="1"/>
    <xf numFmtId="0" fontId="0" fillId="35" borderId="0" xfId="0" applyFill="1"/>
    <xf numFmtId="11" fontId="0" fillId="35" borderId="0" xfId="0" applyNumberFormat="1" applyFill="1"/>
    <xf numFmtId="0" fontId="0" fillId="35" borderId="0" xfId="0" applyFill="1" applyAlignment="1">
      <alignment wrapText="1"/>
    </xf>
    <xf numFmtId="0" fontId="16" fillId="35" borderId="0" xfId="0" applyFont="1" applyFill="1"/>
    <xf numFmtId="4" fontId="0" fillId="35" borderId="0" xfId="0" applyNumberFormat="1" applyFill="1"/>
    <xf numFmtId="14" fontId="0" fillId="35" borderId="0" xfId="0" applyNumberFormat="1" applyFill="1"/>
    <xf numFmtId="43" fontId="0" fillId="35" borderId="0" xfId="1" applyFont="1" applyFill="1"/>
    <xf numFmtId="166" fontId="0" fillId="35" borderId="0" xfId="1" applyNumberFormat="1" applyFont="1" applyFill="1"/>
    <xf numFmtId="166" fontId="0" fillId="35" borderId="0" xfId="1" applyNumberFormat="1" applyFont="1" applyFill="1" applyAlignment="1">
      <alignment wrapText="1"/>
    </xf>
    <xf numFmtId="165" fontId="0" fillId="35" borderId="0" xfId="0" applyNumberFormat="1" applyFill="1"/>
    <xf numFmtId="4" fontId="0" fillId="36" borderId="10" xfId="0" applyNumberFormat="1" applyFill="1" applyBorder="1"/>
    <xf numFmtId="0" fontId="18" fillId="35" borderId="0" xfId="0" applyFont="1" applyFill="1"/>
    <xf numFmtId="43" fontId="0" fillId="35" borderId="0" xfId="0" applyNumberFormat="1" applyFill="1"/>
    <xf numFmtId="0" fontId="16" fillId="34" borderId="0" xfId="0" applyFont="1" applyFill="1" applyAlignment="1">
      <alignment wrapText="1"/>
    </xf>
    <xf numFmtId="0" fontId="0" fillId="35" borderId="19" xfId="0" applyFill="1" applyBorder="1"/>
    <xf numFmtId="0" fontId="0" fillId="35" borderId="20" xfId="0" applyFill="1" applyBorder="1" applyAlignment="1">
      <alignment wrapText="1"/>
    </xf>
    <xf numFmtId="164" fontId="0" fillId="35" borderId="21" xfId="1" applyNumberFormat="1" applyFont="1" applyFill="1" applyBorder="1"/>
    <xf numFmtId="0" fontId="0" fillId="37" borderId="19" xfId="0" applyFill="1" applyBorder="1"/>
    <xf numFmtId="0" fontId="0" fillId="37" borderId="20" xfId="0" applyFill="1" applyBorder="1" applyAlignment="1">
      <alignment wrapText="1"/>
    </xf>
    <xf numFmtId="164" fontId="0" fillId="37" borderId="21" xfId="1" applyNumberFormat="1" applyFont="1" applyFill="1" applyBorder="1"/>
    <xf numFmtId="0" fontId="0" fillId="35" borderId="0" xfId="0" applyFill="1" applyAlignment="1">
      <alignment vertical="center" wrapText="1"/>
    </xf>
    <xf numFmtId="14" fontId="0" fillId="33" borderId="0" xfId="0" applyNumberFormat="1" applyFill="1"/>
    <xf numFmtId="0" fontId="0" fillId="33" borderId="0" xfId="0" applyFill="1"/>
    <xf numFmtId="43" fontId="0" fillId="33" borderId="0" xfId="0" applyNumberFormat="1" applyFill="1"/>
    <xf numFmtId="43" fontId="0" fillId="33" borderId="0" xfId="1" applyFont="1" applyFill="1"/>
    <xf numFmtId="0" fontId="0" fillId="35" borderId="22" xfId="0" applyFill="1" applyBorder="1"/>
    <xf numFmtId="0" fontId="0" fillId="37" borderId="22" xfId="0" applyFill="1" applyBorder="1"/>
    <xf numFmtId="0" fontId="0" fillId="34" borderId="0" xfId="0" applyFill="1"/>
    <xf numFmtId="0" fontId="0" fillId="35" borderId="11" xfId="0" applyFill="1" applyBorder="1" applyAlignment="1">
      <alignment horizontal="center" vertical="center" wrapText="1"/>
    </xf>
    <xf numFmtId="0" fontId="0" fillId="35" borderId="12" xfId="0" applyFill="1" applyBorder="1" applyAlignment="1">
      <alignment horizontal="center" vertical="center"/>
    </xf>
    <xf numFmtId="0" fontId="0" fillId="35" borderId="13" xfId="0" applyFill="1" applyBorder="1" applyAlignment="1">
      <alignment horizontal="center" vertical="center"/>
    </xf>
    <xf numFmtId="0" fontId="0" fillId="35" borderId="14" xfId="0" applyFill="1" applyBorder="1" applyAlignment="1">
      <alignment horizontal="center" vertical="center"/>
    </xf>
    <xf numFmtId="0" fontId="0" fillId="35" borderId="0" xfId="0" applyFill="1" applyAlignment="1">
      <alignment horizontal="center" vertical="center"/>
    </xf>
    <xf numFmtId="0" fontId="0" fillId="35" borderId="15" xfId="0" applyFill="1" applyBorder="1" applyAlignment="1">
      <alignment horizontal="center" vertical="center"/>
    </xf>
    <xf numFmtId="0" fontId="0" fillId="35" borderId="16" xfId="0" applyFill="1" applyBorder="1" applyAlignment="1">
      <alignment horizontal="center" vertical="center"/>
    </xf>
    <xf numFmtId="0" fontId="0" fillId="35" borderId="17" xfId="0" applyFill="1" applyBorder="1" applyAlignment="1">
      <alignment horizontal="center" vertical="center"/>
    </xf>
    <xf numFmtId="0" fontId="0" fillId="35" borderId="18" xfId="0" applyFill="1" applyBorder="1" applyAlignment="1">
      <alignment horizontal="center" vertical="center"/>
    </xf>
    <xf numFmtId="0" fontId="16" fillId="34" borderId="0" xfId="0" applyFont="1" applyFill="1" applyAlignment="1">
      <alignment horizontal="center"/>
    </xf>
    <xf numFmtId="0" fontId="0" fillId="35" borderId="12" xfId="0" applyFill="1" applyBorder="1" applyAlignment="1">
      <alignment horizontal="center" vertical="center" wrapText="1"/>
    </xf>
    <xf numFmtId="0" fontId="0" fillId="35" borderId="13" xfId="0" applyFill="1" applyBorder="1" applyAlignment="1">
      <alignment horizontal="center" vertical="center" wrapText="1"/>
    </xf>
    <xf numFmtId="0" fontId="0" fillId="35" borderId="14" xfId="0" applyFill="1" applyBorder="1" applyAlignment="1">
      <alignment horizontal="center" vertical="center" wrapText="1"/>
    </xf>
    <xf numFmtId="0" fontId="0" fillId="35" borderId="0" xfId="0" applyFill="1" applyAlignment="1">
      <alignment horizontal="center" vertical="center" wrapText="1"/>
    </xf>
    <xf numFmtId="0" fontId="0" fillId="35" borderId="15" xfId="0" applyFill="1" applyBorder="1" applyAlignment="1">
      <alignment horizontal="center" vertical="center" wrapText="1"/>
    </xf>
    <xf numFmtId="0" fontId="0" fillId="35" borderId="16" xfId="0" applyFill="1" applyBorder="1" applyAlignment="1">
      <alignment horizontal="center" vertical="center" wrapText="1"/>
    </xf>
    <xf numFmtId="0" fontId="0" fillId="35" borderId="17" xfId="0" applyFill="1" applyBorder="1" applyAlignment="1">
      <alignment horizontal="center" vertical="center" wrapText="1"/>
    </xf>
    <xf numFmtId="0" fontId="0" fillId="35" borderId="18" xfId="0" applyFill="1" applyBorder="1" applyAlignment="1">
      <alignment horizontal="center" vertical="center"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flight!$B$8</c:f>
              <c:strCache>
                <c:ptCount val="1"/>
                <c:pt idx="0">
                  <c:v>Thousands of Passengers</c:v>
                </c:pt>
              </c:strCache>
            </c:strRef>
          </c:tx>
          <c:spPr>
            <a:ln w="19050" cap="rnd">
              <a:solidFill>
                <a:schemeClr val="accent1"/>
              </a:solidFill>
              <a:round/>
            </a:ln>
            <a:effectLst/>
          </c:spPr>
          <c:marker>
            <c:symbol val="none"/>
          </c:marker>
          <c:xVal>
            <c:numRef>
              <c:f>flight!$A$9:$A$117</c:f>
              <c:numCache>
                <c:formatCode>m/d/yyyy</c:formatCode>
                <c:ptCount val="109"/>
                <c:pt idx="1">
                  <c:v>17899</c:v>
                </c:pt>
                <c:pt idx="2">
                  <c:v>17930</c:v>
                </c:pt>
                <c:pt idx="3">
                  <c:v>17958</c:v>
                </c:pt>
                <c:pt idx="4">
                  <c:v>17989</c:v>
                </c:pt>
                <c:pt idx="5">
                  <c:v>18019</c:v>
                </c:pt>
                <c:pt idx="6">
                  <c:v>18050</c:v>
                </c:pt>
                <c:pt idx="7">
                  <c:v>18080</c:v>
                </c:pt>
                <c:pt idx="8">
                  <c:v>18111</c:v>
                </c:pt>
                <c:pt idx="9">
                  <c:v>18142</c:v>
                </c:pt>
                <c:pt idx="10">
                  <c:v>18172</c:v>
                </c:pt>
                <c:pt idx="11">
                  <c:v>18203</c:v>
                </c:pt>
                <c:pt idx="12">
                  <c:v>18233</c:v>
                </c:pt>
                <c:pt idx="13">
                  <c:v>18264</c:v>
                </c:pt>
                <c:pt idx="14">
                  <c:v>18295</c:v>
                </c:pt>
                <c:pt idx="15">
                  <c:v>18323</c:v>
                </c:pt>
                <c:pt idx="16">
                  <c:v>18354</c:v>
                </c:pt>
                <c:pt idx="17">
                  <c:v>18384</c:v>
                </c:pt>
                <c:pt idx="18">
                  <c:v>18415</c:v>
                </c:pt>
                <c:pt idx="19">
                  <c:v>18445</c:v>
                </c:pt>
                <c:pt idx="20">
                  <c:v>18476</c:v>
                </c:pt>
                <c:pt idx="21">
                  <c:v>18507</c:v>
                </c:pt>
                <c:pt idx="22">
                  <c:v>18537</c:v>
                </c:pt>
                <c:pt idx="23">
                  <c:v>18568</c:v>
                </c:pt>
                <c:pt idx="24">
                  <c:v>18598</c:v>
                </c:pt>
                <c:pt idx="25">
                  <c:v>18629</c:v>
                </c:pt>
                <c:pt idx="26">
                  <c:v>18660</c:v>
                </c:pt>
                <c:pt idx="27">
                  <c:v>18688</c:v>
                </c:pt>
                <c:pt idx="28">
                  <c:v>18719</c:v>
                </c:pt>
                <c:pt idx="29">
                  <c:v>18749</c:v>
                </c:pt>
                <c:pt idx="30">
                  <c:v>18780</c:v>
                </c:pt>
                <c:pt idx="31">
                  <c:v>18810</c:v>
                </c:pt>
                <c:pt idx="32">
                  <c:v>18841</c:v>
                </c:pt>
                <c:pt idx="33">
                  <c:v>18872</c:v>
                </c:pt>
                <c:pt idx="34">
                  <c:v>18902</c:v>
                </c:pt>
                <c:pt idx="35">
                  <c:v>18933</c:v>
                </c:pt>
                <c:pt idx="36">
                  <c:v>18963</c:v>
                </c:pt>
                <c:pt idx="37">
                  <c:v>18994</c:v>
                </c:pt>
                <c:pt idx="38">
                  <c:v>19025</c:v>
                </c:pt>
                <c:pt idx="39">
                  <c:v>19054</c:v>
                </c:pt>
                <c:pt idx="40">
                  <c:v>19085</c:v>
                </c:pt>
                <c:pt idx="41">
                  <c:v>19115</c:v>
                </c:pt>
                <c:pt idx="42">
                  <c:v>19146</c:v>
                </c:pt>
                <c:pt idx="43">
                  <c:v>19176</c:v>
                </c:pt>
                <c:pt idx="44">
                  <c:v>19207</c:v>
                </c:pt>
                <c:pt idx="45">
                  <c:v>19238</c:v>
                </c:pt>
                <c:pt idx="46">
                  <c:v>19268</c:v>
                </c:pt>
                <c:pt idx="47">
                  <c:v>19299</c:v>
                </c:pt>
                <c:pt idx="48">
                  <c:v>19329</c:v>
                </c:pt>
                <c:pt idx="49">
                  <c:v>19360</c:v>
                </c:pt>
                <c:pt idx="50">
                  <c:v>19391</c:v>
                </c:pt>
                <c:pt idx="51">
                  <c:v>19419</c:v>
                </c:pt>
                <c:pt idx="52">
                  <c:v>19450</c:v>
                </c:pt>
                <c:pt idx="53">
                  <c:v>19480</c:v>
                </c:pt>
                <c:pt idx="54">
                  <c:v>19511</c:v>
                </c:pt>
                <c:pt idx="55">
                  <c:v>19541</c:v>
                </c:pt>
                <c:pt idx="56">
                  <c:v>19572</c:v>
                </c:pt>
                <c:pt idx="57">
                  <c:v>19603</c:v>
                </c:pt>
                <c:pt idx="58">
                  <c:v>19633</c:v>
                </c:pt>
                <c:pt idx="59">
                  <c:v>19664</c:v>
                </c:pt>
                <c:pt idx="60">
                  <c:v>19694</c:v>
                </c:pt>
                <c:pt idx="61">
                  <c:v>19725</c:v>
                </c:pt>
                <c:pt idx="62">
                  <c:v>19756</c:v>
                </c:pt>
                <c:pt idx="63">
                  <c:v>19784</c:v>
                </c:pt>
                <c:pt idx="64">
                  <c:v>19815</c:v>
                </c:pt>
                <c:pt idx="65">
                  <c:v>19845</c:v>
                </c:pt>
                <c:pt idx="66">
                  <c:v>19876</c:v>
                </c:pt>
                <c:pt idx="67">
                  <c:v>19906</c:v>
                </c:pt>
                <c:pt idx="68">
                  <c:v>19937</c:v>
                </c:pt>
                <c:pt idx="69">
                  <c:v>19968</c:v>
                </c:pt>
                <c:pt idx="70">
                  <c:v>19998</c:v>
                </c:pt>
                <c:pt idx="71">
                  <c:v>20029</c:v>
                </c:pt>
                <c:pt idx="72">
                  <c:v>20059</c:v>
                </c:pt>
                <c:pt idx="73">
                  <c:v>20090</c:v>
                </c:pt>
                <c:pt idx="74">
                  <c:v>20121</c:v>
                </c:pt>
                <c:pt idx="75">
                  <c:v>20149</c:v>
                </c:pt>
                <c:pt idx="76">
                  <c:v>20180</c:v>
                </c:pt>
                <c:pt idx="77">
                  <c:v>20210</c:v>
                </c:pt>
                <c:pt idx="78">
                  <c:v>20241</c:v>
                </c:pt>
                <c:pt idx="79">
                  <c:v>20271</c:v>
                </c:pt>
                <c:pt idx="80">
                  <c:v>20302</c:v>
                </c:pt>
                <c:pt idx="81">
                  <c:v>20333</c:v>
                </c:pt>
                <c:pt idx="82">
                  <c:v>20363</c:v>
                </c:pt>
                <c:pt idx="83">
                  <c:v>20394</c:v>
                </c:pt>
                <c:pt idx="84">
                  <c:v>20424</c:v>
                </c:pt>
                <c:pt idx="85">
                  <c:v>20455</c:v>
                </c:pt>
                <c:pt idx="86">
                  <c:v>20486</c:v>
                </c:pt>
                <c:pt idx="87">
                  <c:v>20515</c:v>
                </c:pt>
                <c:pt idx="88">
                  <c:v>20546</c:v>
                </c:pt>
                <c:pt idx="89">
                  <c:v>20576</c:v>
                </c:pt>
                <c:pt idx="90">
                  <c:v>20607</c:v>
                </c:pt>
                <c:pt idx="91">
                  <c:v>20637</c:v>
                </c:pt>
                <c:pt idx="92">
                  <c:v>20668</c:v>
                </c:pt>
                <c:pt idx="93">
                  <c:v>20699</c:v>
                </c:pt>
                <c:pt idx="94">
                  <c:v>20729</c:v>
                </c:pt>
                <c:pt idx="95">
                  <c:v>20760</c:v>
                </c:pt>
                <c:pt idx="96">
                  <c:v>20790</c:v>
                </c:pt>
                <c:pt idx="97">
                  <c:v>20821</c:v>
                </c:pt>
                <c:pt idx="98">
                  <c:v>20852</c:v>
                </c:pt>
                <c:pt idx="99">
                  <c:v>20880</c:v>
                </c:pt>
                <c:pt idx="100">
                  <c:v>20911</c:v>
                </c:pt>
                <c:pt idx="101">
                  <c:v>20941</c:v>
                </c:pt>
                <c:pt idx="102">
                  <c:v>20972</c:v>
                </c:pt>
                <c:pt idx="103">
                  <c:v>21002</c:v>
                </c:pt>
                <c:pt idx="104">
                  <c:v>21033</c:v>
                </c:pt>
                <c:pt idx="105">
                  <c:v>21064</c:v>
                </c:pt>
                <c:pt idx="106">
                  <c:v>21094</c:v>
                </c:pt>
                <c:pt idx="107">
                  <c:v>21125</c:v>
                </c:pt>
                <c:pt idx="108">
                  <c:v>21155</c:v>
                </c:pt>
              </c:numCache>
            </c:numRef>
          </c:xVal>
          <c:yVal>
            <c:numRef>
              <c:f>flight!$B$9:$B$117</c:f>
              <c:numCache>
                <c:formatCode>General</c:formatCode>
                <c:ptCount val="109"/>
                <c:pt idx="1">
                  <c:v>112</c:v>
                </c:pt>
                <c:pt idx="2">
                  <c:v>118</c:v>
                </c:pt>
                <c:pt idx="3">
                  <c:v>132</c:v>
                </c:pt>
                <c:pt idx="4">
                  <c:v>129</c:v>
                </c:pt>
                <c:pt idx="5">
                  <c:v>121</c:v>
                </c:pt>
                <c:pt idx="6">
                  <c:v>135</c:v>
                </c:pt>
                <c:pt idx="7">
                  <c:v>148</c:v>
                </c:pt>
                <c:pt idx="8">
                  <c:v>148</c:v>
                </c:pt>
                <c:pt idx="9">
                  <c:v>136</c:v>
                </c:pt>
                <c:pt idx="10">
                  <c:v>119</c:v>
                </c:pt>
                <c:pt idx="11">
                  <c:v>104</c:v>
                </c:pt>
                <c:pt idx="12">
                  <c:v>118</c:v>
                </c:pt>
                <c:pt idx="13">
                  <c:v>115</c:v>
                </c:pt>
                <c:pt idx="14">
                  <c:v>126</c:v>
                </c:pt>
                <c:pt idx="15">
                  <c:v>141</c:v>
                </c:pt>
                <c:pt idx="16">
                  <c:v>135</c:v>
                </c:pt>
                <c:pt idx="17">
                  <c:v>125</c:v>
                </c:pt>
                <c:pt idx="18">
                  <c:v>149</c:v>
                </c:pt>
                <c:pt idx="19">
                  <c:v>170</c:v>
                </c:pt>
                <c:pt idx="20">
                  <c:v>170</c:v>
                </c:pt>
                <c:pt idx="21">
                  <c:v>158</c:v>
                </c:pt>
                <c:pt idx="22">
                  <c:v>133</c:v>
                </c:pt>
                <c:pt idx="23">
                  <c:v>114</c:v>
                </c:pt>
                <c:pt idx="24">
                  <c:v>140</c:v>
                </c:pt>
                <c:pt idx="25">
                  <c:v>145</c:v>
                </c:pt>
                <c:pt idx="26">
                  <c:v>150</c:v>
                </c:pt>
                <c:pt idx="27">
                  <c:v>178</c:v>
                </c:pt>
                <c:pt idx="28">
                  <c:v>163</c:v>
                </c:pt>
                <c:pt idx="29">
                  <c:v>172</c:v>
                </c:pt>
                <c:pt idx="30">
                  <c:v>178</c:v>
                </c:pt>
                <c:pt idx="31">
                  <c:v>199</c:v>
                </c:pt>
                <c:pt idx="32">
                  <c:v>199</c:v>
                </c:pt>
                <c:pt idx="33">
                  <c:v>184</c:v>
                </c:pt>
                <c:pt idx="34">
                  <c:v>162</c:v>
                </c:pt>
                <c:pt idx="35">
                  <c:v>146</c:v>
                </c:pt>
                <c:pt idx="36">
                  <c:v>166</c:v>
                </c:pt>
                <c:pt idx="37">
                  <c:v>171</c:v>
                </c:pt>
                <c:pt idx="38">
                  <c:v>180</c:v>
                </c:pt>
                <c:pt idx="39">
                  <c:v>193</c:v>
                </c:pt>
                <c:pt idx="40">
                  <c:v>181</c:v>
                </c:pt>
                <c:pt idx="41">
                  <c:v>183</c:v>
                </c:pt>
                <c:pt idx="42">
                  <c:v>218</c:v>
                </c:pt>
                <c:pt idx="43">
                  <c:v>230</c:v>
                </c:pt>
                <c:pt idx="44">
                  <c:v>242</c:v>
                </c:pt>
                <c:pt idx="45">
                  <c:v>209</c:v>
                </c:pt>
                <c:pt idx="46">
                  <c:v>191</c:v>
                </c:pt>
                <c:pt idx="47">
                  <c:v>172</c:v>
                </c:pt>
                <c:pt idx="48">
                  <c:v>194</c:v>
                </c:pt>
                <c:pt idx="49">
                  <c:v>196</c:v>
                </c:pt>
                <c:pt idx="50">
                  <c:v>196</c:v>
                </c:pt>
                <c:pt idx="51">
                  <c:v>236</c:v>
                </c:pt>
                <c:pt idx="52">
                  <c:v>235</c:v>
                </c:pt>
                <c:pt idx="53">
                  <c:v>229</c:v>
                </c:pt>
                <c:pt idx="54">
                  <c:v>243</c:v>
                </c:pt>
                <c:pt idx="55">
                  <c:v>264</c:v>
                </c:pt>
                <c:pt idx="56">
                  <c:v>272</c:v>
                </c:pt>
                <c:pt idx="57">
                  <c:v>237</c:v>
                </c:pt>
                <c:pt idx="58">
                  <c:v>211</c:v>
                </c:pt>
                <c:pt idx="59">
                  <c:v>180</c:v>
                </c:pt>
                <c:pt idx="60">
                  <c:v>201</c:v>
                </c:pt>
                <c:pt idx="61">
                  <c:v>204</c:v>
                </c:pt>
                <c:pt idx="62">
                  <c:v>188</c:v>
                </c:pt>
                <c:pt idx="63">
                  <c:v>235</c:v>
                </c:pt>
                <c:pt idx="64">
                  <c:v>227</c:v>
                </c:pt>
                <c:pt idx="65">
                  <c:v>234</c:v>
                </c:pt>
                <c:pt idx="66">
                  <c:v>264</c:v>
                </c:pt>
                <c:pt idx="67">
                  <c:v>302</c:v>
                </c:pt>
                <c:pt idx="68">
                  <c:v>293</c:v>
                </c:pt>
                <c:pt idx="69">
                  <c:v>259</c:v>
                </c:pt>
                <c:pt idx="70">
                  <c:v>229</c:v>
                </c:pt>
                <c:pt idx="71">
                  <c:v>203</c:v>
                </c:pt>
                <c:pt idx="72">
                  <c:v>229</c:v>
                </c:pt>
                <c:pt idx="73">
                  <c:v>242</c:v>
                </c:pt>
                <c:pt idx="74">
                  <c:v>233</c:v>
                </c:pt>
                <c:pt idx="75">
                  <c:v>267</c:v>
                </c:pt>
                <c:pt idx="76">
                  <c:v>269</c:v>
                </c:pt>
                <c:pt idx="77">
                  <c:v>270</c:v>
                </c:pt>
                <c:pt idx="78">
                  <c:v>315</c:v>
                </c:pt>
                <c:pt idx="79">
                  <c:v>364</c:v>
                </c:pt>
                <c:pt idx="80">
                  <c:v>347</c:v>
                </c:pt>
                <c:pt idx="81">
                  <c:v>312</c:v>
                </c:pt>
                <c:pt idx="82">
                  <c:v>274</c:v>
                </c:pt>
                <c:pt idx="83">
                  <c:v>237</c:v>
                </c:pt>
                <c:pt idx="84">
                  <c:v>278</c:v>
                </c:pt>
                <c:pt idx="85">
                  <c:v>284</c:v>
                </c:pt>
                <c:pt idx="86">
                  <c:v>277</c:v>
                </c:pt>
                <c:pt idx="87">
                  <c:v>317</c:v>
                </c:pt>
                <c:pt idx="88">
                  <c:v>313</c:v>
                </c:pt>
                <c:pt idx="89">
                  <c:v>318</c:v>
                </c:pt>
                <c:pt idx="90">
                  <c:v>374</c:v>
                </c:pt>
                <c:pt idx="91">
                  <c:v>413</c:v>
                </c:pt>
                <c:pt idx="92">
                  <c:v>405</c:v>
                </c:pt>
                <c:pt idx="93">
                  <c:v>355</c:v>
                </c:pt>
                <c:pt idx="94">
                  <c:v>306</c:v>
                </c:pt>
                <c:pt idx="95">
                  <c:v>271</c:v>
                </c:pt>
                <c:pt idx="96">
                  <c:v>306</c:v>
                </c:pt>
                <c:pt idx="97">
                  <c:v>315</c:v>
                </c:pt>
                <c:pt idx="98">
                  <c:v>301</c:v>
                </c:pt>
                <c:pt idx="99">
                  <c:v>356</c:v>
                </c:pt>
                <c:pt idx="100">
                  <c:v>348</c:v>
                </c:pt>
                <c:pt idx="101">
                  <c:v>355</c:v>
                </c:pt>
                <c:pt idx="102">
                  <c:v>422</c:v>
                </c:pt>
                <c:pt idx="103">
                  <c:v>465</c:v>
                </c:pt>
                <c:pt idx="104">
                  <c:v>467</c:v>
                </c:pt>
                <c:pt idx="105">
                  <c:v>404</c:v>
                </c:pt>
                <c:pt idx="106">
                  <c:v>347</c:v>
                </c:pt>
                <c:pt idx="107">
                  <c:v>305</c:v>
                </c:pt>
                <c:pt idx="108">
                  <c:v>336</c:v>
                </c:pt>
              </c:numCache>
            </c:numRef>
          </c:yVal>
          <c:smooth val="1"/>
          <c:extLst>
            <c:ext xmlns:c16="http://schemas.microsoft.com/office/drawing/2014/chart" uri="{C3380CC4-5D6E-409C-BE32-E72D297353CC}">
              <c16:uniqueId val="{00000000-5548-45FF-8527-57FAF64748D1}"/>
            </c:ext>
          </c:extLst>
        </c:ser>
        <c:dLbls>
          <c:showLegendKey val="0"/>
          <c:showVal val="0"/>
          <c:showCatName val="0"/>
          <c:showSerName val="0"/>
          <c:showPercent val="0"/>
          <c:showBubbleSize val="0"/>
        </c:dLbls>
        <c:axId val="2070840816"/>
        <c:axId val="2070839984"/>
      </c:scatterChart>
      <c:valAx>
        <c:axId val="2070840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839984"/>
        <c:crosses val="autoZero"/>
        <c:crossBetween val="midCat"/>
      </c:valAx>
      <c:valAx>
        <c:axId val="207083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8408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Passengers vs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'Base Model'!$B$8</c:f>
              <c:strCache>
                <c:ptCount val="1"/>
                <c:pt idx="0">
                  <c:v>Thousands of Passengers</c:v>
                </c:pt>
              </c:strCache>
            </c:strRef>
          </c:tx>
          <c:spPr>
            <a:ln w="28575" cap="rnd">
              <a:solidFill>
                <a:schemeClr val="accent1"/>
              </a:solidFill>
              <a:round/>
            </a:ln>
            <a:effectLst/>
          </c:spPr>
          <c:marker>
            <c:symbol val="none"/>
          </c:marker>
          <c:cat>
            <c:numRef>
              <c:f>'Base Model'!$A$10:$A$117</c:f>
              <c:numCache>
                <c:formatCode>m/d/yyyy</c:formatCode>
                <c:ptCount val="108"/>
                <c:pt idx="0">
                  <c:v>17899</c:v>
                </c:pt>
                <c:pt idx="1">
                  <c:v>17930</c:v>
                </c:pt>
                <c:pt idx="2">
                  <c:v>17958</c:v>
                </c:pt>
                <c:pt idx="3">
                  <c:v>17989</c:v>
                </c:pt>
                <c:pt idx="4">
                  <c:v>18019</c:v>
                </c:pt>
                <c:pt idx="5">
                  <c:v>18050</c:v>
                </c:pt>
                <c:pt idx="6">
                  <c:v>18080</c:v>
                </c:pt>
                <c:pt idx="7">
                  <c:v>18111</c:v>
                </c:pt>
                <c:pt idx="8">
                  <c:v>18142</c:v>
                </c:pt>
                <c:pt idx="9">
                  <c:v>18172</c:v>
                </c:pt>
                <c:pt idx="10">
                  <c:v>18203</c:v>
                </c:pt>
                <c:pt idx="11">
                  <c:v>18233</c:v>
                </c:pt>
                <c:pt idx="12">
                  <c:v>18264</c:v>
                </c:pt>
                <c:pt idx="13">
                  <c:v>18295</c:v>
                </c:pt>
                <c:pt idx="14">
                  <c:v>18323</c:v>
                </c:pt>
                <c:pt idx="15">
                  <c:v>18354</c:v>
                </c:pt>
                <c:pt idx="16">
                  <c:v>18384</c:v>
                </c:pt>
                <c:pt idx="17">
                  <c:v>18415</c:v>
                </c:pt>
                <c:pt idx="18">
                  <c:v>18445</c:v>
                </c:pt>
                <c:pt idx="19">
                  <c:v>18476</c:v>
                </c:pt>
                <c:pt idx="20">
                  <c:v>18507</c:v>
                </c:pt>
                <c:pt idx="21">
                  <c:v>18537</c:v>
                </c:pt>
                <c:pt idx="22">
                  <c:v>18568</c:v>
                </c:pt>
                <c:pt idx="23">
                  <c:v>18598</c:v>
                </c:pt>
                <c:pt idx="24">
                  <c:v>18629</c:v>
                </c:pt>
                <c:pt idx="25">
                  <c:v>18660</c:v>
                </c:pt>
                <c:pt idx="26">
                  <c:v>18688</c:v>
                </c:pt>
                <c:pt idx="27">
                  <c:v>18719</c:v>
                </c:pt>
                <c:pt idx="28">
                  <c:v>18749</c:v>
                </c:pt>
                <c:pt idx="29">
                  <c:v>18780</c:v>
                </c:pt>
                <c:pt idx="30">
                  <c:v>18810</c:v>
                </c:pt>
                <c:pt idx="31">
                  <c:v>18841</c:v>
                </c:pt>
                <c:pt idx="32">
                  <c:v>18872</c:v>
                </c:pt>
                <c:pt idx="33">
                  <c:v>18902</c:v>
                </c:pt>
                <c:pt idx="34">
                  <c:v>18933</c:v>
                </c:pt>
                <c:pt idx="35">
                  <c:v>18963</c:v>
                </c:pt>
                <c:pt idx="36">
                  <c:v>18994</c:v>
                </c:pt>
                <c:pt idx="37">
                  <c:v>19025</c:v>
                </c:pt>
                <c:pt idx="38">
                  <c:v>19054</c:v>
                </c:pt>
                <c:pt idx="39">
                  <c:v>19085</c:v>
                </c:pt>
                <c:pt idx="40">
                  <c:v>19115</c:v>
                </c:pt>
                <c:pt idx="41">
                  <c:v>19146</c:v>
                </c:pt>
                <c:pt idx="42">
                  <c:v>19176</c:v>
                </c:pt>
                <c:pt idx="43">
                  <c:v>19207</c:v>
                </c:pt>
                <c:pt idx="44">
                  <c:v>19238</c:v>
                </c:pt>
                <c:pt idx="45">
                  <c:v>19268</c:v>
                </c:pt>
                <c:pt idx="46">
                  <c:v>19299</c:v>
                </c:pt>
                <c:pt idx="47">
                  <c:v>19329</c:v>
                </c:pt>
                <c:pt idx="48">
                  <c:v>19360</c:v>
                </c:pt>
                <c:pt idx="49">
                  <c:v>19391</c:v>
                </c:pt>
                <c:pt idx="50">
                  <c:v>19419</c:v>
                </c:pt>
                <c:pt idx="51">
                  <c:v>19450</c:v>
                </c:pt>
                <c:pt idx="52">
                  <c:v>19480</c:v>
                </c:pt>
                <c:pt idx="53">
                  <c:v>19511</c:v>
                </c:pt>
                <c:pt idx="54">
                  <c:v>19541</c:v>
                </c:pt>
                <c:pt idx="55">
                  <c:v>19572</c:v>
                </c:pt>
                <c:pt idx="56">
                  <c:v>19603</c:v>
                </c:pt>
                <c:pt idx="57">
                  <c:v>19633</c:v>
                </c:pt>
                <c:pt idx="58">
                  <c:v>19664</c:v>
                </c:pt>
                <c:pt idx="59">
                  <c:v>19694</c:v>
                </c:pt>
                <c:pt idx="60">
                  <c:v>19725</c:v>
                </c:pt>
                <c:pt idx="61">
                  <c:v>19756</c:v>
                </c:pt>
                <c:pt idx="62">
                  <c:v>19784</c:v>
                </c:pt>
                <c:pt idx="63">
                  <c:v>19815</c:v>
                </c:pt>
                <c:pt idx="64">
                  <c:v>19845</c:v>
                </c:pt>
                <c:pt idx="65">
                  <c:v>19876</c:v>
                </c:pt>
                <c:pt idx="66">
                  <c:v>19906</c:v>
                </c:pt>
                <c:pt idx="67">
                  <c:v>19937</c:v>
                </c:pt>
                <c:pt idx="68">
                  <c:v>19968</c:v>
                </c:pt>
                <c:pt idx="69">
                  <c:v>19998</c:v>
                </c:pt>
                <c:pt idx="70">
                  <c:v>20029</c:v>
                </c:pt>
                <c:pt idx="71">
                  <c:v>20059</c:v>
                </c:pt>
                <c:pt idx="72">
                  <c:v>20090</c:v>
                </c:pt>
                <c:pt idx="73">
                  <c:v>20121</c:v>
                </c:pt>
                <c:pt idx="74">
                  <c:v>20149</c:v>
                </c:pt>
                <c:pt idx="75">
                  <c:v>20180</c:v>
                </c:pt>
                <c:pt idx="76">
                  <c:v>20210</c:v>
                </c:pt>
                <c:pt idx="77">
                  <c:v>20241</c:v>
                </c:pt>
                <c:pt idx="78">
                  <c:v>20271</c:v>
                </c:pt>
                <c:pt idx="79">
                  <c:v>20302</c:v>
                </c:pt>
                <c:pt idx="80">
                  <c:v>20333</c:v>
                </c:pt>
                <c:pt idx="81">
                  <c:v>20363</c:v>
                </c:pt>
                <c:pt idx="82">
                  <c:v>20394</c:v>
                </c:pt>
                <c:pt idx="83">
                  <c:v>20424</c:v>
                </c:pt>
                <c:pt idx="84">
                  <c:v>20455</c:v>
                </c:pt>
                <c:pt idx="85">
                  <c:v>20486</c:v>
                </c:pt>
                <c:pt idx="86">
                  <c:v>20515</c:v>
                </c:pt>
                <c:pt idx="87">
                  <c:v>20546</c:v>
                </c:pt>
                <c:pt idx="88">
                  <c:v>20576</c:v>
                </c:pt>
                <c:pt idx="89">
                  <c:v>20607</c:v>
                </c:pt>
                <c:pt idx="90">
                  <c:v>20637</c:v>
                </c:pt>
                <c:pt idx="91">
                  <c:v>20668</c:v>
                </c:pt>
                <c:pt idx="92">
                  <c:v>20699</c:v>
                </c:pt>
                <c:pt idx="93">
                  <c:v>20729</c:v>
                </c:pt>
                <c:pt idx="94">
                  <c:v>20760</c:v>
                </c:pt>
                <c:pt idx="95">
                  <c:v>20790</c:v>
                </c:pt>
                <c:pt idx="96">
                  <c:v>20821</c:v>
                </c:pt>
                <c:pt idx="97">
                  <c:v>20852</c:v>
                </c:pt>
                <c:pt idx="98">
                  <c:v>20880</c:v>
                </c:pt>
                <c:pt idx="99">
                  <c:v>20911</c:v>
                </c:pt>
                <c:pt idx="100">
                  <c:v>20941</c:v>
                </c:pt>
                <c:pt idx="101">
                  <c:v>20972</c:v>
                </c:pt>
                <c:pt idx="102">
                  <c:v>21002</c:v>
                </c:pt>
                <c:pt idx="103">
                  <c:v>21033</c:v>
                </c:pt>
                <c:pt idx="104">
                  <c:v>21064</c:v>
                </c:pt>
                <c:pt idx="105">
                  <c:v>21094</c:v>
                </c:pt>
                <c:pt idx="106">
                  <c:v>21125</c:v>
                </c:pt>
                <c:pt idx="107">
                  <c:v>21155</c:v>
                </c:pt>
              </c:numCache>
            </c:numRef>
          </c:cat>
          <c:val>
            <c:numRef>
              <c:f>'Base Model'!$B$9:$B$117</c:f>
              <c:numCache>
                <c:formatCode>General</c:formatCode>
                <c:ptCount val="109"/>
                <c:pt idx="1">
                  <c:v>112</c:v>
                </c:pt>
                <c:pt idx="2">
                  <c:v>118</c:v>
                </c:pt>
                <c:pt idx="3">
                  <c:v>132</c:v>
                </c:pt>
                <c:pt idx="4">
                  <c:v>129</c:v>
                </c:pt>
                <c:pt idx="5">
                  <c:v>121</c:v>
                </c:pt>
                <c:pt idx="6">
                  <c:v>135</c:v>
                </c:pt>
                <c:pt idx="7">
                  <c:v>148</c:v>
                </c:pt>
                <c:pt idx="8">
                  <c:v>148</c:v>
                </c:pt>
                <c:pt idx="9">
                  <c:v>136</c:v>
                </c:pt>
                <c:pt idx="10">
                  <c:v>119</c:v>
                </c:pt>
                <c:pt idx="11">
                  <c:v>104</c:v>
                </c:pt>
                <c:pt idx="12">
                  <c:v>118</c:v>
                </c:pt>
                <c:pt idx="13">
                  <c:v>115</c:v>
                </c:pt>
                <c:pt idx="14">
                  <c:v>126</c:v>
                </c:pt>
                <c:pt idx="15">
                  <c:v>141</c:v>
                </c:pt>
                <c:pt idx="16">
                  <c:v>135</c:v>
                </c:pt>
                <c:pt idx="17">
                  <c:v>125</c:v>
                </c:pt>
                <c:pt idx="18">
                  <c:v>149</c:v>
                </c:pt>
                <c:pt idx="19">
                  <c:v>170</c:v>
                </c:pt>
                <c:pt idx="20">
                  <c:v>170</c:v>
                </c:pt>
                <c:pt idx="21">
                  <c:v>158</c:v>
                </c:pt>
                <c:pt idx="22">
                  <c:v>133</c:v>
                </c:pt>
                <c:pt idx="23">
                  <c:v>114</c:v>
                </c:pt>
                <c:pt idx="24">
                  <c:v>140</c:v>
                </c:pt>
                <c:pt idx="25">
                  <c:v>145</c:v>
                </c:pt>
                <c:pt idx="26">
                  <c:v>150</c:v>
                </c:pt>
                <c:pt idx="27">
                  <c:v>178</c:v>
                </c:pt>
                <c:pt idx="28">
                  <c:v>163</c:v>
                </c:pt>
                <c:pt idx="29">
                  <c:v>172</c:v>
                </c:pt>
                <c:pt idx="30">
                  <c:v>178</c:v>
                </c:pt>
                <c:pt idx="31">
                  <c:v>199</c:v>
                </c:pt>
                <c:pt idx="32">
                  <c:v>199</c:v>
                </c:pt>
                <c:pt idx="33">
                  <c:v>184</c:v>
                </c:pt>
                <c:pt idx="34">
                  <c:v>162</c:v>
                </c:pt>
                <c:pt idx="35">
                  <c:v>146</c:v>
                </c:pt>
                <c:pt idx="36">
                  <c:v>166</c:v>
                </c:pt>
                <c:pt idx="37">
                  <c:v>171</c:v>
                </c:pt>
                <c:pt idx="38">
                  <c:v>180</c:v>
                </c:pt>
                <c:pt idx="39">
                  <c:v>193</c:v>
                </c:pt>
                <c:pt idx="40">
                  <c:v>181</c:v>
                </c:pt>
                <c:pt idx="41">
                  <c:v>183</c:v>
                </c:pt>
                <c:pt idx="42">
                  <c:v>218</c:v>
                </c:pt>
                <c:pt idx="43">
                  <c:v>230</c:v>
                </c:pt>
                <c:pt idx="44">
                  <c:v>242</c:v>
                </c:pt>
                <c:pt idx="45">
                  <c:v>209</c:v>
                </c:pt>
                <c:pt idx="46">
                  <c:v>191</c:v>
                </c:pt>
                <c:pt idx="47">
                  <c:v>172</c:v>
                </c:pt>
                <c:pt idx="48">
                  <c:v>194</c:v>
                </c:pt>
                <c:pt idx="49">
                  <c:v>196</c:v>
                </c:pt>
                <c:pt idx="50">
                  <c:v>196</c:v>
                </c:pt>
                <c:pt idx="51">
                  <c:v>236</c:v>
                </c:pt>
                <c:pt idx="52">
                  <c:v>235</c:v>
                </c:pt>
                <c:pt idx="53">
                  <c:v>229</c:v>
                </c:pt>
                <c:pt idx="54">
                  <c:v>243</c:v>
                </c:pt>
                <c:pt idx="55">
                  <c:v>264</c:v>
                </c:pt>
                <c:pt idx="56">
                  <c:v>272</c:v>
                </c:pt>
                <c:pt idx="57">
                  <c:v>237</c:v>
                </c:pt>
                <c:pt idx="58">
                  <c:v>211</c:v>
                </c:pt>
                <c:pt idx="59">
                  <c:v>180</c:v>
                </c:pt>
                <c:pt idx="60">
                  <c:v>201</c:v>
                </c:pt>
                <c:pt idx="61">
                  <c:v>204</c:v>
                </c:pt>
                <c:pt idx="62">
                  <c:v>188</c:v>
                </c:pt>
                <c:pt idx="63">
                  <c:v>235</c:v>
                </c:pt>
                <c:pt idx="64">
                  <c:v>227</c:v>
                </c:pt>
                <c:pt idx="65">
                  <c:v>234</c:v>
                </c:pt>
                <c:pt idx="66">
                  <c:v>264</c:v>
                </c:pt>
                <c:pt idx="67">
                  <c:v>302</c:v>
                </c:pt>
                <c:pt idx="68">
                  <c:v>293</c:v>
                </c:pt>
                <c:pt idx="69">
                  <c:v>259</c:v>
                </c:pt>
                <c:pt idx="70">
                  <c:v>229</c:v>
                </c:pt>
                <c:pt idx="71">
                  <c:v>203</c:v>
                </c:pt>
                <c:pt idx="72">
                  <c:v>229</c:v>
                </c:pt>
                <c:pt idx="73">
                  <c:v>242</c:v>
                </c:pt>
                <c:pt idx="74">
                  <c:v>233</c:v>
                </c:pt>
                <c:pt idx="75">
                  <c:v>267</c:v>
                </c:pt>
                <c:pt idx="76">
                  <c:v>269</c:v>
                </c:pt>
                <c:pt idx="77">
                  <c:v>270</c:v>
                </c:pt>
                <c:pt idx="78">
                  <c:v>315</c:v>
                </c:pt>
                <c:pt idx="79">
                  <c:v>364</c:v>
                </c:pt>
                <c:pt idx="80">
                  <c:v>347</c:v>
                </c:pt>
                <c:pt idx="81">
                  <c:v>312</c:v>
                </c:pt>
                <c:pt idx="82">
                  <c:v>274</c:v>
                </c:pt>
                <c:pt idx="83">
                  <c:v>237</c:v>
                </c:pt>
                <c:pt idx="84">
                  <c:v>278</c:v>
                </c:pt>
                <c:pt idx="85">
                  <c:v>284</c:v>
                </c:pt>
                <c:pt idx="86">
                  <c:v>277</c:v>
                </c:pt>
                <c:pt idx="87">
                  <c:v>317</c:v>
                </c:pt>
                <c:pt idx="88">
                  <c:v>313</c:v>
                </c:pt>
                <c:pt idx="89">
                  <c:v>318</c:v>
                </c:pt>
                <c:pt idx="90">
                  <c:v>374</c:v>
                </c:pt>
                <c:pt idx="91">
                  <c:v>413</c:v>
                </c:pt>
                <c:pt idx="92">
                  <c:v>405</c:v>
                </c:pt>
                <c:pt idx="93">
                  <c:v>355</c:v>
                </c:pt>
                <c:pt idx="94">
                  <c:v>306</c:v>
                </c:pt>
                <c:pt idx="95">
                  <c:v>271</c:v>
                </c:pt>
                <c:pt idx="96">
                  <c:v>306</c:v>
                </c:pt>
                <c:pt idx="97">
                  <c:v>315</c:v>
                </c:pt>
                <c:pt idx="98">
                  <c:v>301</c:v>
                </c:pt>
                <c:pt idx="99">
                  <c:v>356</c:v>
                </c:pt>
                <c:pt idx="100">
                  <c:v>348</c:v>
                </c:pt>
                <c:pt idx="101">
                  <c:v>355</c:v>
                </c:pt>
                <c:pt idx="102">
                  <c:v>422</c:v>
                </c:pt>
                <c:pt idx="103">
                  <c:v>465</c:v>
                </c:pt>
                <c:pt idx="104">
                  <c:v>467</c:v>
                </c:pt>
                <c:pt idx="105">
                  <c:v>404</c:v>
                </c:pt>
                <c:pt idx="106">
                  <c:v>347</c:v>
                </c:pt>
                <c:pt idx="107">
                  <c:v>305</c:v>
                </c:pt>
                <c:pt idx="108">
                  <c:v>336</c:v>
                </c:pt>
              </c:numCache>
            </c:numRef>
          </c:val>
          <c:smooth val="0"/>
          <c:extLst>
            <c:ext xmlns:c16="http://schemas.microsoft.com/office/drawing/2014/chart" uri="{C3380CC4-5D6E-409C-BE32-E72D297353CC}">
              <c16:uniqueId val="{00000000-F319-43FB-BAB9-6ED8F7A24C37}"/>
            </c:ext>
          </c:extLst>
        </c:ser>
        <c:ser>
          <c:idx val="1"/>
          <c:order val="1"/>
          <c:tx>
            <c:strRef>
              <c:f>'Base Model'!$F$8</c:f>
              <c:strCache>
                <c:ptCount val="1"/>
                <c:pt idx="0">
                  <c:v>Model</c:v>
                </c:pt>
              </c:strCache>
            </c:strRef>
          </c:tx>
          <c:spPr>
            <a:ln w="28575" cap="rnd">
              <a:solidFill>
                <a:schemeClr val="accent2"/>
              </a:solidFill>
              <a:round/>
            </a:ln>
            <a:effectLst/>
          </c:spPr>
          <c:marker>
            <c:symbol val="none"/>
          </c:marker>
          <c:cat>
            <c:numRef>
              <c:f>'Base Model'!$A$10:$A$117</c:f>
              <c:numCache>
                <c:formatCode>m/d/yyyy</c:formatCode>
                <c:ptCount val="108"/>
                <c:pt idx="0">
                  <c:v>17899</c:v>
                </c:pt>
                <c:pt idx="1">
                  <c:v>17930</c:v>
                </c:pt>
                <c:pt idx="2">
                  <c:v>17958</c:v>
                </c:pt>
                <c:pt idx="3">
                  <c:v>17989</c:v>
                </c:pt>
                <c:pt idx="4">
                  <c:v>18019</c:v>
                </c:pt>
                <c:pt idx="5">
                  <c:v>18050</c:v>
                </c:pt>
                <c:pt idx="6">
                  <c:v>18080</c:v>
                </c:pt>
                <c:pt idx="7">
                  <c:v>18111</c:v>
                </c:pt>
                <c:pt idx="8">
                  <c:v>18142</c:v>
                </c:pt>
                <c:pt idx="9">
                  <c:v>18172</c:v>
                </c:pt>
                <c:pt idx="10">
                  <c:v>18203</c:v>
                </c:pt>
                <c:pt idx="11">
                  <c:v>18233</c:v>
                </c:pt>
                <c:pt idx="12">
                  <c:v>18264</c:v>
                </c:pt>
                <c:pt idx="13">
                  <c:v>18295</c:v>
                </c:pt>
                <c:pt idx="14">
                  <c:v>18323</c:v>
                </c:pt>
                <c:pt idx="15">
                  <c:v>18354</c:v>
                </c:pt>
                <c:pt idx="16">
                  <c:v>18384</c:v>
                </c:pt>
                <c:pt idx="17">
                  <c:v>18415</c:v>
                </c:pt>
                <c:pt idx="18">
                  <c:v>18445</c:v>
                </c:pt>
                <c:pt idx="19">
                  <c:v>18476</c:v>
                </c:pt>
                <c:pt idx="20">
                  <c:v>18507</c:v>
                </c:pt>
                <c:pt idx="21">
                  <c:v>18537</c:v>
                </c:pt>
                <c:pt idx="22">
                  <c:v>18568</c:v>
                </c:pt>
                <c:pt idx="23">
                  <c:v>18598</c:v>
                </c:pt>
                <c:pt idx="24">
                  <c:v>18629</c:v>
                </c:pt>
                <c:pt idx="25">
                  <c:v>18660</c:v>
                </c:pt>
                <c:pt idx="26">
                  <c:v>18688</c:v>
                </c:pt>
                <c:pt idx="27">
                  <c:v>18719</c:v>
                </c:pt>
                <c:pt idx="28">
                  <c:v>18749</c:v>
                </c:pt>
                <c:pt idx="29">
                  <c:v>18780</c:v>
                </c:pt>
                <c:pt idx="30">
                  <c:v>18810</c:v>
                </c:pt>
                <c:pt idx="31">
                  <c:v>18841</c:v>
                </c:pt>
                <c:pt idx="32">
                  <c:v>18872</c:v>
                </c:pt>
                <c:pt idx="33">
                  <c:v>18902</c:v>
                </c:pt>
                <c:pt idx="34">
                  <c:v>18933</c:v>
                </c:pt>
                <c:pt idx="35">
                  <c:v>18963</c:v>
                </c:pt>
                <c:pt idx="36">
                  <c:v>18994</c:v>
                </c:pt>
                <c:pt idx="37">
                  <c:v>19025</c:v>
                </c:pt>
                <c:pt idx="38">
                  <c:v>19054</c:v>
                </c:pt>
                <c:pt idx="39">
                  <c:v>19085</c:v>
                </c:pt>
                <c:pt idx="40">
                  <c:v>19115</c:v>
                </c:pt>
                <c:pt idx="41">
                  <c:v>19146</c:v>
                </c:pt>
                <c:pt idx="42">
                  <c:v>19176</c:v>
                </c:pt>
                <c:pt idx="43">
                  <c:v>19207</c:v>
                </c:pt>
                <c:pt idx="44">
                  <c:v>19238</c:v>
                </c:pt>
                <c:pt idx="45">
                  <c:v>19268</c:v>
                </c:pt>
                <c:pt idx="46">
                  <c:v>19299</c:v>
                </c:pt>
                <c:pt idx="47">
                  <c:v>19329</c:v>
                </c:pt>
                <c:pt idx="48">
                  <c:v>19360</c:v>
                </c:pt>
                <c:pt idx="49">
                  <c:v>19391</c:v>
                </c:pt>
                <c:pt idx="50">
                  <c:v>19419</c:v>
                </c:pt>
                <c:pt idx="51">
                  <c:v>19450</c:v>
                </c:pt>
                <c:pt idx="52">
                  <c:v>19480</c:v>
                </c:pt>
                <c:pt idx="53">
                  <c:v>19511</c:v>
                </c:pt>
                <c:pt idx="54">
                  <c:v>19541</c:v>
                </c:pt>
                <c:pt idx="55">
                  <c:v>19572</c:v>
                </c:pt>
                <c:pt idx="56">
                  <c:v>19603</c:v>
                </c:pt>
                <c:pt idx="57">
                  <c:v>19633</c:v>
                </c:pt>
                <c:pt idx="58">
                  <c:v>19664</c:v>
                </c:pt>
                <c:pt idx="59">
                  <c:v>19694</c:v>
                </c:pt>
                <c:pt idx="60">
                  <c:v>19725</c:v>
                </c:pt>
                <c:pt idx="61">
                  <c:v>19756</c:v>
                </c:pt>
                <c:pt idx="62">
                  <c:v>19784</c:v>
                </c:pt>
                <c:pt idx="63">
                  <c:v>19815</c:v>
                </c:pt>
                <c:pt idx="64">
                  <c:v>19845</c:v>
                </c:pt>
                <c:pt idx="65">
                  <c:v>19876</c:v>
                </c:pt>
                <c:pt idx="66">
                  <c:v>19906</c:v>
                </c:pt>
                <c:pt idx="67">
                  <c:v>19937</c:v>
                </c:pt>
                <c:pt idx="68">
                  <c:v>19968</c:v>
                </c:pt>
                <c:pt idx="69">
                  <c:v>19998</c:v>
                </c:pt>
                <c:pt idx="70">
                  <c:v>20029</c:v>
                </c:pt>
                <c:pt idx="71">
                  <c:v>20059</c:v>
                </c:pt>
                <c:pt idx="72">
                  <c:v>20090</c:v>
                </c:pt>
                <c:pt idx="73">
                  <c:v>20121</c:v>
                </c:pt>
                <c:pt idx="74">
                  <c:v>20149</c:v>
                </c:pt>
                <c:pt idx="75">
                  <c:v>20180</c:v>
                </c:pt>
                <c:pt idx="76">
                  <c:v>20210</c:v>
                </c:pt>
                <c:pt idx="77">
                  <c:v>20241</c:v>
                </c:pt>
                <c:pt idx="78">
                  <c:v>20271</c:v>
                </c:pt>
                <c:pt idx="79">
                  <c:v>20302</c:v>
                </c:pt>
                <c:pt idx="80">
                  <c:v>20333</c:v>
                </c:pt>
                <c:pt idx="81">
                  <c:v>20363</c:v>
                </c:pt>
                <c:pt idx="82">
                  <c:v>20394</c:v>
                </c:pt>
                <c:pt idx="83">
                  <c:v>20424</c:v>
                </c:pt>
                <c:pt idx="84">
                  <c:v>20455</c:v>
                </c:pt>
                <c:pt idx="85">
                  <c:v>20486</c:v>
                </c:pt>
                <c:pt idx="86">
                  <c:v>20515</c:v>
                </c:pt>
                <c:pt idx="87">
                  <c:v>20546</c:v>
                </c:pt>
                <c:pt idx="88">
                  <c:v>20576</c:v>
                </c:pt>
                <c:pt idx="89">
                  <c:v>20607</c:v>
                </c:pt>
                <c:pt idx="90">
                  <c:v>20637</c:v>
                </c:pt>
                <c:pt idx="91">
                  <c:v>20668</c:v>
                </c:pt>
                <c:pt idx="92">
                  <c:v>20699</c:v>
                </c:pt>
                <c:pt idx="93">
                  <c:v>20729</c:v>
                </c:pt>
                <c:pt idx="94">
                  <c:v>20760</c:v>
                </c:pt>
                <c:pt idx="95">
                  <c:v>20790</c:v>
                </c:pt>
                <c:pt idx="96">
                  <c:v>20821</c:v>
                </c:pt>
                <c:pt idx="97">
                  <c:v>20852</c:v>
                </c:pt>
                <c:pt idx="98">
                  <c:v>20880</c:v>
                </c:pt>
                <c:pt idx="99">
                  <c:v>20911</c:v>
                </c:pt>
                <c:pt idx="100">
                  <c:v>20941</c:v>
                </c:pt>
                <c:pt idx="101">
                  <c:v>20972</c:v>
                </c:pt>
                <c:pt idx="102">
                  <c:v>21002</c:v>
                </c:pt>
                <c:pt idx="103">
                  <c:v>21033</c:v>
                </c:pt>
                <c:pt idx="104">
                  <c:v>21064</c:v>
                </c:pt>
                <c:pt idx="105">
                  <c:v>21094</c:v>
                </c:pt>
                <c:pt idx="106">
                  <c:v>21125</c:v>
                </c:pt>
                <c:pt idx="107">
                  <c:v>21155</c:v>
                </c:pt>
              </c:numCache>
            </c:numRef>
          </c:cat>
          <c:val>
            <c:numRef>
              <c:f>'Base Model'!$F$9:$F$117</c:f>
              <c:numCache>
                <c:formatCode>General</c:formatCode>
                <c:ptCount val="109"/>
                <c:pt idx="1">
                  <c:v>112</c:v>
                </c:pt>
                <c:pt idx="2" formatCode="_(* #,##0.00_);_(* \(#,##0.00\);_(* &quot;-&quot;??_);_(@_)">
                  <c:v>112</c:v>
                </c:pt>
                <c:pt idx="3" formatCode="_(* #,##0.00_);_(* \(#,##0.00\);_(* &quot;-&quot;??_);_(@_)">
                  <c:v>115</c:v>
                </c:pt>
                <c:pt idx="4" formatCode="_(* #,##0.00_);_(* \(#,##0.00\);_(* &quot;-&quot;??_);_(@_)">
                  <c:v>120.66666666666667</c:v>
                </c:pt>
                <c:pt idx="5" formatCode="_(* #,##0.00_);_(* \(#,##0.00\);_(* &quot;-&quot;??_);_(@_)">
                  <c:v>122.75</c:v>
                </c:pt>
                <c:pt idx="6" formatCode="_(* #,##0.00_);_(* \(#,##0.00\);_(* &quot;-&quot;??_);_(@_)">
                  <c:v>122.4</c:v>
                </c:pt>
                <c:pt idx="7" formatCode="_(* #,##0.00_);_(* \(#,##0.00\);_(* &quot;-&quot;??_);_(@_)">
                  <c:v>124.5</c:v>
                </c:pt>
                <c:pt idx="8" formatCode="_(* #,##0.00_);_(* \(#,##0.00\);_(* &quot;-&quot;??_);_(@_)">
                  <c:v>127.85714285714286</c:v>
                </c:pt>
                <c:pt idx="9" formatCode="_(* #,##0.00_);_(* \(#,##0.00\);_(* &quot;-&quot;??_);_(@_)">
                  <c:v>130.375</c:v>
                </c:pt>
                <c:pt idx="10" formatCode="_(* #,##0.00_);_(* \(#,##0.00\);_(* &quot;-&quot;??_);_(@_)">
                  <c:v>131</c:v>
                </c:pt>
                <c:pt idx="11" formatCode="_(* #,##0.00_);_(* \(#,##0.00\);_(* &quot;-&quot;??_);_(@_)">
                  <c:v>129.80000000000001</c:v>
                </c:pt>
                <c:pt idx="12" formatCode="_(* #,##0.00_);_(* \(#,##0.00\);_(* &quot;-&quot;??_);_(@_)">
                  <c:v>127.45454545454545</c:v>
                </c:pt>
                <c:pt idx="13" formatCode="_(* #,##0.00_);_(* \(#,##0.00\);_(* &quot;-&quot;??_);_(@_)">
                  <c:v>126.66666666666667</c:v>
                </c:pt>
                <c:pt idx="14" formatCode="_(* #,##0.00_);_(* \(#,##0.00\);_(* &quot;-&quot;??_);_(@_)">
                  <c:v>125.76923076923077</c:v>
                </c:pt>
                <c:pt idx="15" formatCode="_(* #,##0.00_);_(* \(#,##0.00\);_(* &quot;-&quot;??_);_(@_)">
                  <c:v>125.78571428571429</c:v>
                </c:pt>
                <c:pt idx="16" formatCode="_(* #,##0.00_);_(* \(#,##0.00\);_(* &quot;-&quot;??_);_(@_)">
                  <c:v>126.8</c:v>
                </c:pt>
                <c:pt idx="17" formatCode="_(* #,##0.00_);_(* \(#,##0.00\);_(* &quot;-&quot;??_);_(@_)">
                  <c:v>127.3125</c:v>
                </c:pt>
                <c:pt idx="18" formatCode="_(* #,##0.00_);_(* \(#,##0.00\);_(* &quot;-&quot;??_);_(@_)">
                  <c:v>127.17647058823529</c:v>
                </c:pt>
                <c:pt idx="19" formatCode="_(* #,##0.00_);_(* \(#,##0.00\);_(* &quot;-&quot;??_);_(@_)">
                  <c:v>128.38888888888889</c:v>
                </c:pt>
                <c:pt idx="20" formatCode="_(* #,##0.00_);_(* \(#,##0.00\);_(* &quot;-&quot;??_);_(@_)">
                  <c:v>130.57894736842104</c:v>
                </c:pt>
                <c:pt idx="21" formatCode="_(* #,##0.00_);_(* \(#,##0.00\);_(* &quot;-&quot;??_);_(@_)">
                  <c:v>132.55000000000001</c:v>
                </c:pt>
                <c:pt idx="22" formatCode="_(* #,##0.00_);_(* \(#,##0.00\);_(* &quot;-&quot;??_);_(@_)">
                  <c:v>133.76190476190476</c:v>
                </c:pt>
                <c:pt idx="23" formatCode="_(* #,##0.00_);_(* \(#,##0.00\);_(* &quot;-&quot;??_);_(@_)">
                  <c:v>133.72727272727272</c:v>
                </c:pt>
                <c:pt idx="24" formatCode="_(* #,##0.00_);_(* \(#,##0.00\);_(* &quot;-&quot;??_);_(@_)">
                  <c:v>132.86956521739131</c:v>
                </c:pt>
                <c:pt idx="25" formatCode="_(* #,##0.00_);_(* \(#,##0.00\);_(* &quot;-&quot;??_);_(@_)">
                  <c:v>133.16666666666666</c:v>
                </c:pt>
                <c:pt idx="26" formatCode="_(* #,##0.00_);_(* \(#,##0.00\);_(* &quot;-&quot;??_);_(@_)">
                  <c:v>133.63999999999999</c:v>
                </c:pt>
                <c:pt idx="27" formatCode="_(* #,##0.00_);_(* \(#,##0.00\);_(* &quot;-&quot;??_);_(@_)">
                  <c:v>134.26923076923077</c:v>
                </c:pt>
                <c:pt idx="28" formatCode="_(* #,##0.00_);_(* \(#,##0.00\);_(* &quot;-&quot;??_);_(@_)">
                  <c:v>135.88888888888889</c:v>
                </c:pt>
                <c:pt idx="29" formatCode="_(* #,##0.00_);_(* \(#,##0.00\);_(* &quot;-&quot;??_);_(@_)">
                  <c:v>136.85714285714286</c:v>
                </c:pt>
                <c:pt idx="30" formatCode="_(* #,##0.00_);_(* \(#,##0.00\);_(* &quot;-&quot;??_);_(@_)">
                  <c:v>138.06896551724137</c:v>
                </c:pt>
                <c:pt idx="31" formatCode="_(* #,##0.00_);_(* \(#,##0.00\);_(* &quot;-&quot;??_);_(@_)">
                  <c:v>139.4</c:v>
                </c:pt>
                <c:pt idx="32" formatCode="_(* #,##0.00_);_(* \(#,##0.00\);_(* &quot;-&quot;??_);_(@_)">
                  <c:v>141.32258064516128</c:v>
                </c:pt>
                <c:pt idx="33" formatCode="_(* #,##0.00_);_(* \(#,##0.00\);_(* &quot;-&quot;??_);_(@_)">
                  <c:v>143.125</c:v>
                </c:pt>
                <c:pt idx="34" formatCode="_(* #,##0.00_);_(* \(#,##0.00\);_(* &quot;-&quot;??_);_(@_)">
                  <c:v>144.36363636363637</c:v>
                </c:pt>
                <c:pt idx="35" formatCode="_(* #,##0.00_);_(* \(#,##0.00\);_(* &quot;-&quot;??_);_(@_)">
                  <c:v>144.88235294117646</c:v>
                </c:pt>
                <c:pt idx="36" formatCode="_(* #,##0.00_);_(* \(#,##0.00\);_(* &quot;-&quot;??_);_(@_)">
                  <c:v>144.91428571428571</c:v>
                </c:pt>
                <c:pt idx="37" formatCode="_(* #,##0.00_);_(* \(#,##0.00\);_(* &quot;-&quot;??_);_(@_)">
                  <c:v>145.5</c:v>
                </c:pt>
                <c:pt idx="38" formatCode="_(* #,##0.00_);_(* \(#,##0.00\);_(* &quot;-&quot;??_);_(@_)">
                  <c:v>146.18918918918919</c:v>
                </c:pt>
                <c:pt idx="39" formatCode="_(* #,##0.00_);_(* \(#,##0.00\);_(* &quot;-&quot;??_);_(@_)">
                  <c:v>147.07894736842104</c:v>
                </c:pt>
                <c:pt idx="40" formatCode="_(* #,##0.00_);_(* \(#,##0.00\);_(* &quot;-&quot;??_);_(@_)">
                  <c:v>148.25641025641025</c:v>
                </c:pt>
                <c:pt idx="41" formatCode="_(* #,##0.00_);_(* \(#,##0.00\);_(* &quot;-&quot;??_);_(@_)">
                  <c:v>149.07499999999999</c:v>
                </c:pt>
                <c:pt idx="42" formatCode="_(* #,##0.00_);_(* \(#,##0.00\);_(* &quot;-&quot;??_);_(@_)">
                  <c:v>149.90243902439025</c:v>
                </c:pt>
                <c:pt idx="43" formatCode="_(* #,##0.00_);_(* \(#,##0.00\);_(* &quot;-&quot;??_);_(@_)">
                  <c:v>151.52380952380952</c:v>
                </c:pt>
                <c:pt idx="44" formatCode="_(* #,##0.00_);_(* \(#,##0.00\);_(* &quot;-&quot;??_);_(@_)">
                  <c:v>153.34883720930233</c:v>
                </c:pt>
                <c:pt idx="45" formatCode="_(* #,##0.00_);_(* \(#,##0.00\);_(* &quot;-&quot;??_);_(@_)">
                  <c:v>155.36363636363637</c:v>
                </c:pt>
                <c:pt idx="46" formatCode="_(* #,##0.00_);_(* \(#,##0.00\);_(* &quot;-&quot;??_);_(@_)">
                  <c:v>156.55555555555554</c:v>
                </c:pt>
                <c:pt idx="47" formatCode="_(* #,##0.00_);_(* \(#,##0.00\);_(* &quot;-&quot;??_);_(@_)">
                  <c:v>157.30434782608697</c:v>
                </c:pt>
                <c:pt idx="48" formatCode="_(* #,##0.00_);_(* \(#,##0.00\);_(* &quot;-&quot;??_);_(@_)">
                  <c:v>157.61702127659575</c:v>
                </c:pt>
                <c:pt idx="49" formatCode="_(* #,##0.00_);_(* \(#,##0.00\);_(* &quot;-&quot;??_);_(@_)">
                  <c:v>158.375</c:v>
                </c:pt>
                <c:pt idx="50" formatCode="_(* #,##0.00_);_(* \(#,##0.00\);_(* &quot;-&quot;??_);_(@_)">
                  <c:v>159.14285714285714</c:v>
                </c:pt>
                <c:pt idx="51" formatCode="_(* #,##0.00_);_(* \(#,##0.00\);_(* &quot;-&quot;??_);_(@_)">
                  <c:v>159.88</c:v>
                </c:pt>
                <c:pt idx="52" formatCode="_(* #,##0.00_);_(* \(#,##0.00\);_(* &quot;-&quot;??_);_(@_)">
                  <c:v>161.37254901960785</c:v>
                </c:pt>
                <c:pt idx="53" formatCode="_(* #,##0.00_);_(* \(#,##0.00\);_(* &quot;-&quot;??_);_(@_)">
                  <c:v>162.78846153846155</c:v>
                </c:pt>
                <c:pt idx="54" formatCode="_(* #,##0.00_);_(* \(#,##0.00\);_(* &quot;-&quot;??_);_(@_)">
                  <c:v>164.03773584905662</c:v>
                </c:pt>
                <c:pt idx="55" formatCode="_(* #,##0.00_);_(* \(#,##0.00\);_(* &quot;-&quot;??_);_(@_)">
                  <c:v>165.5</c:v>
                </c:pt>
                <c:pt idx="56" formatCode="_(* #,##0.00_);_(* \(#,##0.00\);_(* &quot;-&quot;??_);_(@_)">
                  <c:v>167.29090909090908</c:v>
                </c:pt>
                <c:pt idx="57" formatCode="_(* #,##0.00_);_(* \(#,##0.00\);_(* &quot;-&quot;??_);_(@_)">
                  <c:v>169.16071428571428</c:v>
                </c:pt>
                <c:pt idx="58" formatCode="_(* #,##0.00_);_(* \(#,##0.00\);_(* &quot;-&quot;??_);_(@_)">
                  <c:v>170.35087719298247</c:v>
                </c:pt>
                <c:pt idx="59" formatCode="_(* #,##0.00_);_(* \(#,##0.00\);_(* &quot;-&quot;??_);_(@_)">
                  <c:v>171.05172413793105</c:v>
                </c:pt>
                <c:pt idx="60" formatCode="_(* #,##0.00_);_(* \(#,##0.00\);_(* &quot;-&quot;??_);_(@_)">
                  <c:v>171.20338983050848</c:v>
                </c:pt>
                <c:pt idx="61" formatCode="_(* #,##0.00_);_(* \(#,##0.00\);_(* &quot;-&quot;??_);_(@_)">
                  <c:v>171.7</c:v>
                </c:pt>
                <c:pt idx="62" formatCode="_(* #,##0.00_);_(* \(#,##0.00\);_(* &quot;-&quot;??_);_(@_)">
                  <c:v>172.2295081967213</c:v>
                </c:pt>
                <c:pt idx="63" formatCode="_(* #,##0.00_);_(* \(#,##0.00\);_(* &quot;-&quot;??_);_(@_)">
                  <c:v>172.48387096774192</c:v>
                </c:pt>
                <c:pt idx="64" formatCode="_(* #,##0.00_);_(* \(#,##0.00\);_(* &quot;-&quot;??_);_(@_)">
                  <c:v>173.47619047619048</c:v>
                </c:pt>
                <c:pt idx="65" formatCode="_(* #,##0.00_);_(* \(#,##0.00\);_(* &quot;-&quot;??_);_(@_)">
                  <c:v>174.3125</c:v>
                </c:pt>
                <c:pt idx="66" formatCode="_(* #,##0.00_);_(* \(#,##0.00\);_(* &quot;-&quot;??_);_(@_)">
                  <c:v>175.23076923076923</c:v>
                </c:pt>
                <c:pt idx="67" formatCode="_(* #,##0.00_);_(* \(#,##0.00\);_(* &quot;-&quot;??_);_(@_)">
                  <c:v>176.57575757575756</c:v>
                </c:pt>
                <c:pt idx="68" formatCode="_(* #,##0.00_);_(* \(#,##0.00\);_(* &quot;-&quot;??_);_(@_)">
                  <c:v>178.44776119402985</c:v>
                </c:pt>
                <c:pt idx="69" formatCode="_(* #,##0.00_);_(* \(#,##0.00\);_(* &quot;-&quot;??_);_(@_)">
                  <c:v>180.13235294117646</c:v>
                </c:pt>
                <c:pt idx="70" formatCode="_(* #,##0.00_);_(* \(#,##0.00\);_(* &quot;-&quot;??_);_(@_)">
                  <c:v>181.27536231884059</c:v>
                </c:pt>
                <c:pt idx="71" formatCode="_(* #,##0.00_);_(* \(#,##0.00\);_(* &quot;-&quot;??_);_(@_)">
                  <c:v>181.95714285714286</c:v>
                </c:pt>
                <c:pt idx="72" formatCode="_(* #,##0.00_);_(* \(#,##0.00\);_(* &quot;-&quot;??_);_(@_)">
                  <c:v>182.25352112676057</c:v>
                </c:pt>
                <c:pt idx="73" formatCode="_(* #,##0.00_);_(* \(#,##0.00\);_(* &quot;-&quot;??_);_(@_)">
                  <c:v>182.90277777777777</c:v>
                </c:pt>
                <c:pt idx="74" formatCode="_(* #,##0.00_);_(* \(#,##0.00\);_(* &quot;-&quot;??_);_(@_)">
                  <c:v>183.7123287671233</c:v>
                </c:pt>
                <c:pt idx="75" formatCode="_(* #,##0.00_);_(* \(#,##0.00\);_(* &quot;-&quot;??_);_(@_)">
                  <c:v>184.37837837837839</c:v>
                </c:pt>
                <c:pt idx="76" formatCode="_(* #,##0.00_);_(* \(#,##0.00\);_(* &quot;-&quot;??_);_(@_)">
                  <c:v>185.48</c:v>
                </c:pt>
                <c:pt idx="77" formatCode="_(* #,##0.00_);_(* \(#,##0.00\);_(* &quot;-&quot;??_);_(@_)">
                  <c:v>186.57894736842104</c:v>
                </c:pt>
                <c:pt idx="78" formatCode="_(* #,##0.00_);_(* \(#,##0.00\);_(* &quot;-&quot;??_);_(@_)">
                  <c:v>187.66233766233765</c:v>
                </c:pt>
                <c:pt idx="79" formatCode="_(* #,##0.00_);_(* \(#,##0.00\);_(* &quot;-&quot;??_);_(@_)">
                  <c:v>189.2948717948718</c:v>
                </c:pt>
                <c:pt idx="80" formatCode="_(* #,##0.00_);_(* \(#,##0.00\);_(* &quot;-&quot;??_);_(@_)">
                  <c:v>191.50632911392404</c:v>
                </c:pt>
                <c:pt idx="81" formatCode="_(* #,##0.00_);_(* \(#,##0.00\);_(* &quot;-&quot;??_);_(@_)">
                  <c:v>193.45</c:v>
                </c:pt>
                <c:pt idx="82" formatCode="_(* #,##0.00_);_(* \(#,##0.00\);_(* &quot;-&quot;??_);_(@_)">
                  <c:v>194.91358024691357</c:v>
                </c:pt>
                <c:pt idx="83" formatCode="_(* #,##0.00_);_(* \(#,##0.00\);_(* &quot;-&quot;??_);_(@_)">
                  <c:v>195.8780487804878</c:v>
                </c:pt>
                <c:pt idx="84" formatCode="_(* #,##0.00_);_(* \(#,##0.00\);_(* &quot;-&quot;??_);_(@_)">
                  <c:v>196.37349397590361</c:v>
                </c:pt>
                <c:pt idx="85" formatCode="_(* #,##0.00_);_(* \(#,##0.00\);_(* &quot;-&quot;??_);_(@_)">
                  <c:v>197.3452380952381</c:v>
                </c:pt>
                <c:pt idx="86" formatCode="_(* #,##0.00_);_(* \(#,##0.00\);_(* &quot;-&quot;??_);_(@_)">
                  <c:v>198.36470588235295</c:v>
                </c:pt>
                <c:pt idx="87" formatCode="_(* #,##0.00_);_(* \(#,##0.00\);_(* &quot;-&quot;??_);_(@_)">
                  <c:v>199.27906976744185</c:v>
                </c:pt>
                <c:pt idx="88" formatCode="_(* #,##0.00_);_(* \(#,##0.00\);_(* &quot;-&quot;??_);_(@_)">
                  <c:v>200.63218390804599</c:v>
                </c:pt>
                <c:pt idx="89" formatCode="_(* #,##0.00_);_(* \(#,##0.00\);_(* &quot;-&quot;??_);_(@_)">
                  <c:v>201.90909090909091</c:v>
                </c:pt>
                <c:pt idx="90" formatCode="_(* #,##0.00_);_(* \(#,##0.00\);_(* &quot;-&quot;??_);_(@_)">
                  <c:v>203.2134831460674</c:v>
                </c:pt>
                <c:pt idx="91" formatCode="_(* #,##0.00_);_(* \(#,##0.00\);_(* &quot;-&quot;??_);_(@_)">
                  <c:v>205.11111111111111</c:v>
                </c:pt>
                <c:pt idx="92" formatCode="_(* #,##0.00_);_(* \(#,##0.00\);_(* &quot;-&quot;??_);_(@_)">
                  <c:v>207.39560439560441</c:v>
                </c:pt>
                <c:pt idx="93" formatCode="_(* #,##0.00_);_(* \(#,##0.00\);_(* &quot;-&quot;??_);_(@_)">
                  <c:v>209.54347826086956</c:v>
                </c:pt>
                <c:pt idx="94" formatCode="_(* #,##0.00_);_(* \(#,##0.00\);_(* &quot;-&quot;??_);_(@_)">
                  <c:v>211.10752688172042</c:v>
                </c:pt>
                <c:pt idx="95" formatCode="_(* #,##0.00_);_(* \(#,##0.00\);_(* &quot;-&quot;??_);_(@_)">
                  <c:v>212.11702127659575</c:v>
                </c:pt>
                <c:pt idx="96" formatCode="_(* #,##0.00_);_(* \(#,##0.00\);_(* &quot;-&quot;??_);_(@_)">
                  <c:v>212.73684210526315</c:v>
                </c:pt>
                <c:pt idx="97" formatCode="_(* #,##0.00_);_(* \(#,##0.00\);_(* &quot;-&quot;??_);_(@_)">
                  <c:v>213.70833333333334</c:v>
                </c:pt>
                <c:pt idx="98" formatCode="_(* #,##0.00_);_(* \(#,##0.00\);_(* &quot;-&quot;??_);_(@_)">
                  <c:v>214.75257731958763</c:v>
                </c:pt>
                <c:pt idx="99" formatCode="_(* #,##0.00_);_(* \(#,##0.00\);_(* &quot;-&quot;??_);_(@_)">
                  <c:v>215.63265306122449</c:v>
                </c:pt>
                <c:pt idx="100" formatCode="_(* #,##0.00_);_(* \(#,##0.00\);_(* &quot;-&quot;??_);_(@_)">
                  <c:v>217.05050505050505</c:v>
                </c:pt>
                <c:pt idx="101" formatCode="_(* #,##0.00_);_(* \(#,##0.00\);_(* &quot;-&quot;??_);_(@_)">
                  <c:v>218.36</c:v>
                </c:pt>
                <c:pt idx="102" formatCode="_(* #,##0.00_);_(* \(#,##0.00\);_(* &quot;-&quot;??_);_(@_)">
                  <c:v>219.71287128712871</c:v>
                </c:pt>
                <c:pt idx="103" formatCode="_(* #,##0.00_);_(* \(#,##0.00\);_(* &quot;-&quot;??_);_(@_)">
                  <c:v>221.69607843137254</c:v>
                </c:pt>
                <c:pt idx="104" formatCode="_(* #,##0.00_);_(* \(#,##0.00\);_(* &quot;-&quot;??_);_(@_)">
                  <c:v>224.05825242718447</c:v>
                </c:pt>
                <c:pt idx="105" formatCode="_(* #,##0.00_);_(* \(#,##0.00\);_(* &quot;-&quot;??_);_(@_)">
                  <c:v>226.39423076923077</c:v>
                </c:pt>
                <c:pt idx="106" formatCode="_(* #,##0.00_);_(* \(#,##0.00\);_(* &quot;-&quot;??_);_(@_)">
                  <c:v>228.08571428571429</c:v>
                </c:pt>
                <c:pt idx="107" formatCode="_(* #,##0.00_);_(* \(#,##0.00\);_(* &quot;-&quot;??_);_(@_)">
                  <c:v>229.20754716981133</c:v>
                </c:pt>
                <c:pt idx="108" formatCode="_(* #,##0.00_);_(* \(#,##0.00\);_(* &quot;-&quot;??_);_(@_)">
                  <c:v>229.9158878504673</c:v>
                </c:pt>
              </c:numCache>
            </c:numRef>
          </c:val>
          <c:smooth val="0"/>
          <c:extLst>
            <c:ext xmlns:c16="http://schemas.microsoft.com/office/drawing/2014/chart" uri="{C3380CC4-5D6E-409C-BE32-E72D297353CC}">
              <c16:uniqueId val="{00000001-F319-43FB-BAB9-6ED8F7A24C37}"/>
            </c:ext>
          </c:extLst>
        </c:ser>
        <c:dLbls>
          <c:showLegendKey val="0"/>
          <c:showVal val="0"/>
          <c:showCatName val="0"/>
          <c:showSerName val="0"/>
          <c:showPercent val="0"/>
          <c:showBubbleSize val="0"/>
        </c:dLbls>
        <c:smooth val="0"/>
        <c:axId val="1486141200"/>
        <c:axId val="1486139952"/>
      </c:lineChart>
      <c:dateAx>
        <c:axId val="1486141200"/>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39952"/>
        <c:crosses val="autoZero"/>
        <c:auto val="1"/>
        <c:lblOffset val="100"/>
        <c:baseTimeUnit val="months"/>
      </c:dateAx>
      <c:valAx>
        <c:axId val="148613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41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Passengers vs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SES!$B$8</c:f>
              <c:strCache>
                <c:ptCount val="1"/>
                <c:pt idx="0">
                  <c:v>Thousands of Passengers</c:v>
                </c:pt>
              </c:strCache>
            </c:strRef>
          </c:tx>
          <c:spPr>
            <a:ln w="28575" cap="rnd">
              <a:solidFill>
                <a:schemeClr val="accent1"/>
              </a:solidFill>
              <a:round/>
            </a:ln>
            <a:effectLst/>
          </c:spPr>
          <c:marker>
            <c:symbol val="none"/>
          </c:marker>
          <c:cat>
            <c:numRef>
              <c:f>SES!$A$10:$A$117</c:f>
              <c:numCache>
                <c:formatCode>m/d/yyyy</c:formatCode>
                <c:ptCount val="108"/>
                <c:pt idx="0">
                  <c:v>17899</c:v>
                </c:pt>
                <c:pt idx="1">
                  <c:v>17930</c:v>
                </c:pt>
                <c:pt idx="2">
                  <c:v>17958</c:v>
                </c:pt>
                <c:pt idx="3">
                  <c:v>17989</c:v>
                </c:pt>
                <c:pt idx="4">
                  <c:v>18019</c:v>
                </c:pt>
                <c:pt idx="5">
                  <c:v>18050</c:v>
                </c:pt>
                <c:pt idx="6">
                  <c:v>18080</c:v>
                </c:pt>
                <c:pt idx="7">
                  <c:v>18111</c:v>
                </c:pt>
                <c:pt idx="8">
                  <c:v>18142</c:v>
                </c:pt>
                <c:pt idx="9">
                  <c:v>18172</c:v>
                </c:pt>
                <c:pt idx="10">
                  <c:v>18203</c:v>
                </c:pt>
                <c:pt idx="11">
                  <c:v>18233</c:v>
                </c:pt>
                <c:pt idx="12">
                  <c:v>18264</c:v>
                </c:pt>
                <c:pt idx="13">
                  <c:v>18295</c:v>
                </c:pt>
                <c:pt idx="14">
                  <c:v>18323</c:v>
                </c:pt>
                <c:pt idx="15">
                  <c:v>18354</c:v>
                </c:pt>
                <c:pt idx="16">
                  <c:v>18384</c:v>
                </c:pt>
                <c:pt idx="17">
                  <c:v>18415</c:v>
                </c:pt>
                <c:pt idx="18">
                  <c:v>18445</c:v>
                </c:pt>
                <c:pt idx="19">
                  <c:v>18476</c:v>
                </c:pt>
                <c:pt idx="20">
                  <c:v>18507</c:v>
                </c:pt>
                <c:pt idx="21">
                  <c:v>18537</c:v>
                </c:pt>
                <c:pt idx="22">
                  <c:v>18568</c:v>
                </c:pt>
                <c:pt idx="23">
                  <c:v>18598</c:v>
                </c:pt>
                <c:pt idx="24">
                  <c:v>18629</c:v>
                </c:pt>
                <c:pt idx="25">
                  <c:v>18660</c:v>
                </c:pt>
                <c:pt idx="26">
                  <c:v>18688</c:v>
                </c:pt>
                <c:pt idx="27">
                  <c:v>18719</c:v>
                </c:pt>
                <c:pt idx="28">
                  <c:v>18749</c:v>
                </c:pt>
                <c:pt idx="29">
                  <c:v>18780</c:v>
                </c:pt>
                <c:pt idx="30">
                  <c:v>18810</c:v>
                </c:pt>
                <c:pt idx="31">
                  <c:v>18841</c:v>
                </c:pt>
                <c:pt idx="32">
                  <c:v>18872</c:v>
                </c:pt>
                <c:pt idx="33">
                  <c:v>18902</c:v>
                </c:pt>
                <c:pt idx="34">
                  <c:v>18933</c:v>
                </c:pt>
                <c:pt idx="35">
                  <c:v>18963</c:v>
                </c:pt>
                <c:pt idx="36">
                  <c:v>18994</c:v>
                </c:pt>
                <c:pt idx="37">
                  <c:v>19025</c:v>
                </c:pt>
                <c:pt idx="38">
                  <c:v>19054</c:v>
                </c:pt>
                <c:pt idx="39">
                  <c:v>19085</c:v>
                </c:pt>
                <c:pt idx="40">
                  <c:v>19115</c:v>
                </c:pt>
                <c:pt idx="41">
                  <c:v>19146</c:v>
                </c:pt>
                <c:pt idx="42">
                  <c:v>19176</c:v>
                </c:pt>
                <c:pt idx="43">
                  <c:v>19207</c:v>
                </c:pt>
                <c:pt idx="44">
                  <c:v>19238</c:v>
                </c:pt>
                <c:pt idx="45">
                  <c:v>19268</c:v>
                </c:pt>
                <c:pt idx="46">
                  <c:v>19299</c:v>
                </c:pt>
                <c:pt idx="47">
                  <c:v>19329</c:v>
                </c:pt>
                <c:pt idx="48">
                  <c:v>19360</c:v>
                </c:pt>
                <c:pt idx="49">
                  <c:v>19391</c:v>
                </c:pt>
                <c:pt idx="50">
                  <c:v>19419</c:v>
                </c:pt>
                <c:pt idx="51">
                  <c:v>19450</c:v>
                </c:pt>
                <c:pt idx="52">
                  <c:v>19480</c:v>
                </c:pt>
                <c:pt idx="53">
                  <c:v>19511</c:v>
                </c:pt>
                <c:pt idx="54">
                  <c:v>19541</c:v>
                </c:pt>
                <c:pt idx="55">
                  <c:v>19572</c:v>
                </c:pt>
                <c:pt idx="56">
                  <c:v>19603</c:v>
                </c:pt>
                <c:pt idx="57">
                  <c:v>19633</c:v>
                </c:pt>
                <c:pt idx="58">
                  <c:v>19664</c:v>
                </c:pt>
                <c:pt idx="59">
                  <c:v>19694</c:v>
                </c:pt>
                <c:pt idx="60">
                  <c:v>19725</c:v>
                </c:pt>
                <c:pt idx="61">
                  <c:v>19756</c:v>
                </c:pt>
                <c:pt idx="62">
                  <c:v>19784</c:v>
                </c:pt>
                <c:pt idx="63">
                  <c:v>19815</c:v>
                </c:pt>
                <c:pt idx="64">
                  <c:v>19845</c:v>
                </c:pt>
                <c:pt idx="65">
                  <c:v>19876</c:v>
                </c:pt>
                <c:pt idx="66">
                  <c:v>19906</c:v>
                </c:pt>
                <c:pt idx="67">
                  <c:v>19937</c:v>
                </c:pt>
                <c:pt idx="68">
                  <c:v>19968</c:v>
                </c:pt>
                <c:pt idx="69">
                  <c:v>19998</c:v>
                </c:pt>
                <c:pt idx="70">
                  <c:v>20029</c:v>
                </c:pt>
                <c:pt idx="71">
                  <c:v>20059</c:v>
                </c:pt>
                <c:pt idx="72">
                  <c:v>20090</c:v>
                </c:pt>
                <c:pt idx="73">
                  <c:v>20121</c:v>
                </c:pt>
                <c:pt idx="74">
                  <c:v>20149</c:v>
                </c:pt>
                <c:pt idx="75">
                  <c:v>20180</c:v>
                </c:pt>
                <c:pt idx="76">
                  <c:v>20210</c:v>
                </c:pt>
                <c:pt idx="77">
                  <c:v>20241</c:v>
                </c:pt>
                <c:pt idx="78">
                  <c:v>20271</c:v>
                </c:pt>
                <c:pt idx="79">
                  <c:v>20302</c:v>
                </c:pt>
                <c:pt idx="80">
                  <c:v>20333</c:v>
                </c:pt>
                <c:pt idx="81">
                  <c:v>20363</c:v>
                </c:pt>
                <c:pt idx="82">
                  <c:v>20394</c:v>
                </c:pt>
                <c:pt idx="83">
                  <c:v>20424</c:v>
                </c:pt>
                <c:pt idx="84">
                  <c:v>20455</c:v>
                </c:pt>
                <c:pt idx="85">
                  <c:v>20486</c:v>
                </c:pt>
                <c:pt idx="86">
                  <c:v>20515</c:v>
                </c:pt>
                <c:pt idx="87">
                  <c:v>20546</c:v>
                </c:pt>
                <c:pt idx="88">
                  <c:v>20576</c:v>
                </c:pt>
                <c:pt idx="89">
                  <c:v>20607</c:v>
                </c:pt>
                <c:pt idx="90">
                  <c:v>20637</c:v>
                </c:pt>
                <c:pt idx="91">
                  <c:v>20668</c:v>
                </c:pt>
                <c:pt idx="92">
                  <c:v>20699</c:v>
                </c:pt>
                <c:pt idx="93">
                  <c:v>20729</c:v>
                </c:pt>
                <c:pt idx="94">
                  <c:v>20760</c:v>
                </c:pt>
                <c:pt idx="95">
                  <c:v>20790</c:v>
                </c:pt>
                <c:pt idx="96">
                  <c:v>20821</c:v>
                </c:pt>
                <c:pt idx="97">
                  <c:v>20852</c:v>
                </c:pt>
                <c:pt idx="98">
                  <c:v>20880</c:v>
                </c:pt>
                <c:pt idx="99">
                  <c:v>20911</c:v>
                </c:pt>
                <c:pt idx="100">
                  <c:v>20941</c:v>
                </c:pt>
                <c:pt idx="101">
                  <c:v>20972</c:v>
                </c:pt>
                <c:pt idx="102">
                  <c:v>21002</c:v>
                </c:pt>
                <c:pt idx="103">
                  <c:v>21033</c:v>
                </c:pt>
                <c:pt idx="104">
                  <c:v>21064</c:v>
                </c:pt>
                <c:pt idx="105">
                  <c:v>21094</c:v>
                </c:pt>
                <c:pt idx="106">
                  <c:v>21125</c:v>
                </c:pt>
                <c:pt idx="107">
                  <c:v>21155</c:v>
                </c:pt>
              </c:numCache>
            </c:numRef>
          </c:cat>
          <c:val>
            <c:numRef>
              <c:f>SES!$B$10:$B$117</c:f>
              <c:numCache>
                <c:formatCode>General</c:formatCode>
                <c:ptCount val="108"/>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numCache>
            </c:numRef>
          </c:val>
          <c:smooth val="0"/>
          <c:extLst>
            <c:ext xmlns:c16="http://schemas.microsoft.com/office/drawing/2014/chart" uri="{C3380CC4-5D6E-409C-BE32-E72D297353CC}">
              <c16:uniqueId val="{00000000-4C9D-41DE-84CB-0E77D1CA0ABC}"/>
            </c:ext>
          </c:extLst>
        </c:ser>
        <c:ser>
          <c:idx val="1"/>
          <c:order val="1"/>
          <c:tx>
            <c:strRef>
              <c:f>SES!$F$8</c:f>
              <c:strCache>
                <c:ptCount val="1"/>
                <c:pt idx="0">
                  <c:v>Model</c:v>
                </c:pt>
              </c:strCache>
            </c:strRef>
          </c:tx>
          <c:spPr>
            <a:ln w="28575" cap="rnd">
              <a:solidFill>
                <a:schemeClr val="accent2"/>
              </a:solidFill>
              <a:round/>
            </a:ln>
            <a:effectLst/>
          </c:spPr>
          <c:marker>
            <c:symbol val="none"/>
          </c:marker>
          <c:cat>
            <c:numRef>
              <c:f>SES!$A$10:$A$117</c:f>
              <c:numCache>
                <c:formatCode>m/d/yyyy</c:formatCode>
                <c:ptCount val="108"/>
                <c:pt idx="0">
                  <c:v>17899</c:v>
                </c:pt>
                <c:pt idx="1">
                  <c:v>17930</c:v>
                </c:pt>
                <c:pt idx="2">
                  <c:v>17958</c:v>
                </c:pt>
                <c:pt idx="3">
                  <c:v>17989</c:v>
                </c:pt>
                <c:pt idx="4">
                  <c:v>18019</c:v>
                </c:pt>
                <c:pt idx="5">
                  <c:v>18050</c:v>
                </c:pt>
                <c:pt idx="6">
                  <c:v>18080</c:v>
                </c:pt>
                <c:pt idx="7">
                  <c:v>18111</c:v>
                </c:pt>
                <c:pt idx="8">
                  <c:v>18142</c:v>
                </c:pt>
                <c:pt idx="9">
                  <c:v>18172</c:v>
                </c:pt>
                <c:pt idx="10">
                  <c:v>18203</c:v>
                </c:pt>
                <c:pt idx="11">
                  <c:v>18233</c:v>
                </c:pt>
                <c:pt idx="12">
                  <c:v>18264</c:v>
                </c:pt>
                <c:pt idx="13">
                  <c:v>18295</c:v>
                </c:pt>
                <c:pt idx="14">
                  <c:v>18323</c:v>
                </c:pt>
                <c:pt idx="15">
                  <c:v>18354</c:v>
                </c:pt>
                <c:pt idx="16">
                  <c:v>18384</c:v>
                </c:pt>
                <c:pt idx="17">
                  <c:v>18415</c:v>
                </c:pt>
                <c:pt idx="18">
                  <c:v>18445</c:v>
                </c:pt>
                <c:pt idx="19">
                  <c:v>18476</c:v>
                </c:pt>
                <c:pt idx="20">
                  <c:v>18507</c:v>
                </c:pt>
                <c:pt idx="21">
                  <c:v>18537</c:v>
                </c:pt>
                <c:pt idx="22">
                  <c:v>18568</c:v>
                </c:pt>
                <c:pt idx="23">
                  <c:v>18598</c:v>
                </c:pt>
                <c:pt idx="24">
                  <c:v>18629</c:v>
                </c:pt>
                <c:pt idx="25">
                  <c:v>18660</c:v>
                </c:pt>
                <c:pt idx="26">
                  <c:v>18688</c:v>
                </c:pt>
                <c:pt idx="27">
                  <c:v>18719</c:v>
                </c:pt>
                <c:pt idx="28">
                  <c:v>18749</c:v>
                </c:pt>
                <c:pt idx="29">
                  <c:v>18780</c:v>
                </c:pt>
                <c:pt idx="30">
                  <c:v>18810</c:v>
                </c:pt>
                <c:pt idx="31">
                  <c:v>18841</c:v>
                </c:pt>
                <c:pt idx="32">
                  <c:v>18872</c:v>
                </c:pt>
                <c:pt idx="33">
                  <c:v>18902</c:v>
                </c:pt>
                <c:pt idx="34">
                  <c:v>18933</c:v>
                </c:pt>
                <c:pt idx="35">
                  <c:v>18963</c:v>
                </c:pt>
                <c:pt idx="36">
                  <c:v>18994</c:v>
                </c:pt>
                <c:pt idx="37">
                  <c:v>19025</c:v>
                </c:pt>
                <c:pt idx="38">
                  <c:v>19054</c:v>
                </c:pt>
                <c:pt idx="39">
                  <c:v>19085</c:v>
                </c:pt>
                <c:pt idx="40">
                  <c:v>19115</c:v>
                </c:pt>
                <c:pt idx="41">
                  <c:v>19146</c:v>
                </c:pt>
                <c:pt idx="42">
                  <c:v>19176</c:v>
                </c:pt>
                <c:pt idx="43">
                  <c:v>19207</c:v>
                </c:pt>
                <c:pt idx="44">
                  <c:v>19238</c:v>
                </c:pt>
                <c:pt idx="45">
                  <c:v>19268</c:v>
                </c:pt>
                <c:pt idx="46">
                  <c:v>19299</c:v>
                </c:pt>
                <c:pt idx="47">
                  <c:v>19329</c:v>
                </c:pt>
                <c:pt idx="48">
                  <c:v>19360</c:v>
                </c:pt>
                <c:pt idx="49">
                  <c:v>19391</c:v>
                </c:pt>
                <c:pt idx="50">
                  <c:v>19419</c:v>
                </c:pt>
                <c:pt idx="51">
                  <c:v>19450</c:v>
                </c:pt>
                <c:pt idx="52">
                  <c:v>19480</c:v>
                </c:pt>
                <c:pt idx="53">
                  <c:v>19511</c:v>
                </c:pt>
                <c:pt idx="54">
                  <c:v>19541</c:v>
                </c:pt>
                <c:pt idx="55">
                  <c:v>19572</c:v>
                </c:pt>
                <c:pt idx="56">
                  <c:v>19603</c:v>
                </c:pt>
                <c:pt idx="57">
                  <c:v>19633</c:v>
                </c:pt>
                <c:pt idx="58">
                  <c:v>19664</c:v>
                </c:pt>
                <c:pt idx="59">
                  <c:v>19694</c:v>
                </c:pt>
                <c:pt idx="60">
                  <c:v>19725</c:v>
                </c:pt>
                <c:pt idx="61">
                  <c:v>19756</c:v>
                </c:pt>
                <c:pt idx="62">
                  <c:v>19784</c:v>
                </c:pt>
                <c:pt idx="63">
                  <c:v>19815</c:v>
                </c:pt>
                <c:pt idx="64">
                  <c:v>19845</c:v>
                </c:pt>
                <c:pt idx="65">
                  <c:v>19876</c:v>
                </c:pt>
                <c:pt idx="66">
                  <c:v>19906</c:v>
                </c:pt>
                <c:pt idx="67">
                  <c:v>19937</c:v>
                </c:pt>
                <c:pt idx="68">
                  <c:v>19968</c:v>
                </c:pt>
                <c:pt idx="69">
                  <c:v>19998</c:v>
                </c:pt>
                <c:pt idx="70">
                  <c:v>20029</c:v>
                </c:pt>
                <c:pt idx="71">
                  <c:v>20059</c:v>
                </c:pt>
                <c:pt idx="72">
                  <c:v>20090</c:v>
                </c:pt>
                <c:pt idx="73">
                  <c:v>20121</c:v>
                </c:pt>
                <c:pt idx="74">
                  <c:v>20149</c:v>
                </c:pt>
                <c:pt idx="75">
                  <c:v>20180</c:v>
                </c:pt>
                <c:pt idx="76">
                  <c:v>20210</c:v>
                </c:pt>
                <c:pt idx="77">
                  <c:v>20241</c:v>
                </c:pt>
                <c:pt idx="78">
                  <c:v>20271</c:v>
                </c:pt>
                <c:pt idx="79">
                  <c:v>20302</c:v>
                </c:pt>
                <c:pt idx="80">
                  <c:v>20333</c:v>
                </c:pt>
                <c:pt idx="81">
                  <c:v>20363</c:v>
                </c:pt>
                <c:pt idx="82">
                  <c:v>20394</c:v>
                </c:pt>
                <c:pt idx="83">
                  <c:v>20424</c:v>
                </c:pt>
                <c:pt idx="84">
                  <c:v>20455</c:v>
                </c:pt>
                <c:pt idx="85">
                  <c:v>20486</c:v>
                </c:pt>
                <c:pt idx="86">
                  <c:v>20515</c:v>
                </c:pt>
                <c:pt idx="87">
                  <c:v>20546</c:v>
                </c:pt>
                <c:pt idx="88">
                  <c:v>20576</c:v>
                </c:pt>
                <c:pt idx="89">
                  <c:v>20607</c:v>
                </c:pt>
                <c:pt idx="90">
                  <c:v>20637</c:v>
                </c:pt>
                <c:pt idx="91">
                  <c:v>20668</c:v>
                </c:pt>
                <c:pt idx="92">
                  <c:v>20699</c:v>
                </c:pt>
                <c:pt idx="93">
                  <c:v>20729</c:v>
                </c:pt>
                <c:pt idx="94">
                  <c:v>20760</c:v>
                </c:pt>
                <c:pt idx="95">
                  <c:v>20790</c:v>
                </c:pt>
                <c:pt idx="96">
                  <c:v>20821</c:v>
                </c:pt>
                <c:pt idx="97">
                  <c:v>20852</c:v>
                </c:pt>
                <c:pt idx="98">
                  <c:v>20880</c:v>
                </c:pt>
                <c:pt idx="99">
                  <c:v>20911</c:v>
                </c:pt>
                <c:pt idx="100">
                  <c:v>20941</c:v>
                </c:pt>
                <c:pt idx="101">
                  <c:v>20972</c:v>
                </c:pt>
                <c:pt idx="102">
                  <c:v>21002</c:v>
                </c:pt>
                <c:pt idx="103">
                  <c:v>21033</c:v>
                </c:pt>
                <c:pt idx="104">
                  <c:v>21064</c:v>
                </c:pt>
                <c:pt idx="105">
                  <c:v>21094</c:v>
                </c:pt>
                <c:pt idx="106">
                  <c:v>21125</c:v>
                </c:pt>
                <c:pt idx="107">
                  <c:v>21155</c:v>
                </c:pt>
              </c:numCache>
            </c:numRef>
          </c:cat>
          <c:val>
            <c:numRef>
              <c:f>SES!$F$10:$F$117</c:f>
              <c:numCache>
                <c:formatCode>_(* #,##0.00_);_(* \(#,##0.00\);_(* "-"??_);_(@_)</c:formatCode>
                <c:ptCount val="108"/>
                <c:pt idx="0" formatCode="General">
                  <c:v>112</c:v>
                </c:pt>
                <c:pt idx="1">
                  <c:v>112</c:v>
                </c:pt>
                <c:pt idx="2">
                  <c:v>117.97</c:v>
                </c:pt>
                <c:pt idx="3">
                  <c:v>131.92985000000002</c:v>
                </c:pt>
                <c:pt idx="4">
                  <c:v>129.01464924999999</c:v>
                </c:pt>
                <c:pt idx="5">
                  <c:v>121.04007324625</c:v>
                </c:pt>
                <c:pt idx="6">
                  <c:v>134.93020036623125</c:v>
                </c:pt>
                <c:pt idx="7">
                  <c:v>147.93465100183116</c:v>
                </c:pt>
                <c:pt idx="8">
                  <c:v>147.99967325500916</c:v>
                </c:pt>
                <c:pt idx="9">
                  <c:v>136.05999836627504</c:v>
                </c:pt>
                <c:pt idx="10">
                  <c:v>119.08529999183138</c:v>
                </c:pt>
                <c:pt idx="11">
                  <c:v>104.07542649995916</c:v>
                </c:pt>
                <c:pt idx="12">
                  <c:v>117.9303771324998</c:v>
                </c:pt>
                <c:pt idx="13">
                  <c:v>115.0146518856625</c:v>
                </c:pt>
                <c:pt idx="14">
                  <c:v>125.94507325942831</c:v>
                </c:pt>
                <c:pt idx="15">
                  <c:v>140.92472536629714</c:v>
                </c:pt>
                <c:pt idx="16">
                  <c:v>135.02962362683147</c:v>
                </c:pt>
                <c:pt idx="17">
                  <c:v>125.05014811813416</c:v>
                </c:pt>
                <c:pt idx="18">
                  <c:v>148.88025074059067</c:v>
                </c:pt>
                <c:pt idx="19">
                  <c:v>169.89440125370297</c:v>
                </c:pt>
                <c:pt idx="20">
                  <c:v>169.99947200626852</c:v>
                </c:pt>
                <c:pt idx="21">
                  <c:v>158.05999736003136</c:v>
                </c:pt>
                <c:pt idx="22">
                  <c:v>133.12529998680017</c:v>
                </c:pt>
                <c:pt idx="23">
                  <c:v>114.095626499934</c:v>
                </c:pt>
                <c:pt idx="24">
                  <c:v>139.87047813249967</c:v>
                </c:pt>
                <c:pt idx="25">
                  <c:v>144.97435239066252</c:v>
                </c:pt>
                <c:pt idx="26">
                  <c:v>149.97487176195332</c:v>
                </c:pt>
                <c:pt idx="27">
                  <c:v>177.85987435880975</c:v>
                </c:pt>
                <c:pt idx="28">
                  <c:v>163.07429937179404</c:v>
                </c:pt>
                <c:pt idx="29">
                  <c:v>171.95537149685896</c:v>
                </c:pt>
                <c:pt idx="30">
                  <c:v>177.96977685748428</c:v>
                </c:pt>
                <c:pt idx="31">
                  <c:v>198.89484888428743</c:v>
                </c:pt>
                <c:pt idx="32">
                  <c:v>198.99947424442144</c:v>
                </c:pt>
                <c:pt idx="33">
                  <c:v>184.07499737122211</c:v>
                </c:pt>
                <c:pt idx="34">
                  <c:v>162.1103749868561</c:v>
                </c:pt>
                <c:pt idx="35">
                  <c:v>146.08055187493429</c:v>
                </c:pt>
                <c:pt idx="36">
                  <c:v>165.90040275937466</c:v>
                </c:pt>
                <c:pt idx="37">
                  <c:v>170.97450201379689</c:v>
                </c:pt>
                <c:pt idx="38">
                  <c:v>179.95487251006898</c:v>
                </c:pt>
                <c:pt idx="39">
                  <c:v>192.93477436255034</c:v>
                </c:pt>
                <c:pt idx="40">
                  <c:v>181.05967387181275</c:v>
                </c:pt>
                <c:pt idx="41">
                  <c:v>182.99029836935907</c:v>
                </c:pt>
                <c:pt idx="42">
                  <c:v>217.8249514918468</c:v>
                </c:pt>
                <c:pt idx="43">
                  <c:v>229.93912475745924</c:v>
                </c:pt>
                <c:pt idx="44">
                  <c:v>241.93969562378729</c:v>
                </c:pt>
                <c:pt idx="45">
                  <c:v>209.16469847811894</c:v>
                </c:pt>
                <c:pt idx="46">
                  <c:v>191.09082349239057</c:v>
                </c:pt>
                <c:pt idx="47">
                  <c:v>172.09545411746194</c:v>
                </c:pt>
                <c:pt idx="48">
                  <c:v>193.89047727058733</c:v>
                </c:pt>
                <c:pt idx="49">
                  <c:v>195.98945238635295</c:v>
                </c:pt>
                <c:pt idx="50">
                  <c:v>195.99994726193177</c:v>
                </c:pt>
                <c:pt idx="51">
                  <c:v>235.79999973630964</c:v>
                </c:pt>
                <c:pt idx="52">
                  <c:v>235.00399999868154</c:v>
                </c:pt>
                <c:pt idx="53">
                  <c:v>229.03001999999339</c:v>
                </c:pt>
                <c:pt idx="54">
                  <c:v>242.93015009999996</c:v>
                </c:pt>
                <c:pt idx="55">
                  <c:v>263.89465075050003</c:v>
                </c:pt>
                <c:pt idx="56">
                  <c:v>271.95947325375249</c:v>
                </c:pt>
                <c:pt idx="57">
                  <c:v>237.17479736626876</c:v>
                </c:pt>
                <c:pt idx="58">
                  <c:v>211.13087398683135</c:v>
                </c:pt>
                <c:pt idx="59">
                  <c:v>180.15565436993415</c:v>
                </c:pt>
                <c:pt idx="60">
                  <c:v>200.89577827184968</c:v>
                </c:pt>
                <c:pt idx="61">
                  <c:v>203.98447889135923</c:v>
                </c:pt>
                <c:pt idx="62">
                  <c:v>188.07992239445679</c:v>
                </c:pt>
                <c:pt idx="63">
                  <c:v>234.76539961197227</c:v>
                </c:pt>
                <c:pt idx="64">
                  <c:v>227.03882699805987</c:v>
                </c:pt>
                <c:pt idx="65">
                  <c:v>233.96519413499033</c:v>
                </c:pt>
                <c:pt idx="66">
                  <c:v>263.84982597067494</c:v>
                </c:pt>
                <c:pt idx="67">
                  <c:v>301.80924912985341</c:v>
                </c:pt>
                <c:pt idx="68">
                  <c:v>293.04404624564927</c:v>
                </c:pt>
                <c:pt idx="69">
                  <c:v>259.17022023122826</c:v>
                </c:pt>
                <c:pt idx="70">
                  <c:v>229.15085110115612</c:v>
                </c:pt>
                <c:pt idx="71">
                  <c:v>203.13075425550576</c:v>
                </c:pt>
                <c:pt idx="72">
                  <c:v>228.87065377127752</c:v>
                </c:pt>
                <c:pt idx="73">
                  <c:v>241.93435326885637</c:v>
                </c:pt>
                <c:pt idx="74">
                  <c:v>233.04467176634429</c:v>
                </c:pt>
                <c:pt idx="75">
                  <c:v>266.83022335883174</c:v>
                </c:pt>
                <c:pt idx="76">
                  <c:v>268.98915111679412</c:v>
                </c:pt>
                <c:pt idx="77">
                  <c:v>269.99494575558396</c:v>
                </c:pt>
                <c:pt idx="78">
                  <c:v>314.77497472877792</c:v>
                </c:pt>
                <c:pt idx="79">
                  <c:v>363.75387487364389</c:v>
                </c:pt>
                <c:pt idx="80">
                  <c:v>347.08376937436822</c:v>
                </c:pt>
                <c:pt idx="81">
                  <c:v>312.17541884687182</c:v>
                </c:pt>
                <c:pt idx="82">
                  <c:v>274.19087709423434</c:v>
                </c:pt>
                <c:pt idx="83">
                  <c:v>237.18595438547118</c:v>
                </c:pt>
                <c:pt idx="84">
                  <c:v>277.79592977192738</c:v>
                </c:pt>
                <c:pt idx="85">
                  <c:v>283.9689796488596</c:v>
                </c:pt>
                <c:pt idx="86">
                  <c:v>277.03484489824433</c:v>
                </c:pt>
                <c:pt idx="87">
                  <c:v>316.80017422449123</c:v>
                </c:pt>
                <c:pt idx="88">
                  <c:v>313.01900087112244</c:v>
                </c:pt>
                <c:pt idx="89">
                  <c:v>317.97509500435564</c:v>
                </c:pt>
                <c:pt idx="90">
                  <c:v>373.71987547502175</c:v>
                </c:pt>
                <c:pt idx="91">
                  <c:v>412.80359937737512</c:v>
                </c:pt>
                <c:pt idx="92">
                  <c:v>405.03901799688691</c:v>
                </c:pt>
                <c:pt idx="93">
                  <c:v>355.25019508998446</c:v>
                </c:pt>
                <c:pt idx="94">
                  <c:v>306.24625097544987</c:v>
                </c:pt>
                <c:pt idx="95">
                  <c:v>271.17623125487722</c:v>
                </c:pt>
                <c:pt idx="96">
                  <c:v>305.82588115627436</c:v>
                </c:pt>
                <c:pt idx="97">
                  <c:v>314.95412940578137</c:v>
                </c:pt>
                <c:pt idx="98">
                  <c:v>301.06977064702892</c:v>
                </c:pt>
                <c:pt idx="99">
                  <c:v>355.72534885323512</c:v>
                </c:pt>
                <c:pt idx="100">
                  <c:v>348.0386267442662</c:v>
                </c:pt>
                <c:pt idx="101">
                  <c:v>354.96519313372136</c:v>
                </c:pt>
                <c:pt idx="102">
                  <c:v>421.66482596566857</c:v>
                </c:pt>
                <c:pt idx="103">
                  <c:v>464.78332412982837</c:v>
                </c:pt>
                <c:pt idx="104">
                  <c:v>466.98891662064915</c:v>
                </c:pt>
                <c:pt idx="105">
                  <c:v>404.31494458310328</c:v>
                </c:pt>
                <c:pt idx="106">
                  <c:v>347.28657472291553</c:v>
                </c:pt>
                <c:pt idx="107">
                  <c:v>305.21143287361463</c:v>
                </c:pt>
              </c:numCache>
            </c:numRef>
          </c:val>
          <c:smooth val="0"/>
          <c:extLst>
            <c:ext xmlns:c16="http://schemas.microsoft.com/office/drawing/2014/chart" uri="{C3380CC4-5D6E-409C-BE32-E72D297353CC}">
              <c16:uniqueId val="{00000001-4C9D-41DE-84CB-0E77D1CA0ABC}"/>
            </c:ext>
          </c:extLst>
        </c:ser>
        <c:dLbls>
          <c:showLegendKey val="0"/>
          <c:showVal val="0"/>
          <c:showCatName val="0"/>
          <c:showSerName val="0"/>
          <c:showPercent val="0"/>
          <c:showBubbleSize val="0"/>
        </c:dLbls>
        <c:smooth val="0"/>
        <c:axId val="1486141200"/>
        <c:axId val="1486139952"/>
      </c:lineChart>
      <c:dateAx>
        <c:axId val="1486141200"/>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39952"/>
        <c:crosses val="autoZero"/>
        <c:auto val="1"/>
        <c:lblOffset val="100"/>
        <c:baseTimeUnit val="months"/>
      </c:dateAx>
      <c:valAx>
        <c:axId val="148613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41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Passengers vs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'Holt Linear (1)'!$B$8</c:f>
              <c:strCache>
                <c:ptCount val="1"/>
                <c:pt idx="0">
                  <c:v>Thousands of Passengers</c:v>
                </c:pt>
              </c:strCache>
            </c:strRef>
          </c:tx>
          <c:spPr>
            <a:ln w="28575" cap="rnd">
              <a:solidFill>
                <a:schemeClr val="accent1"/>
              </a:solidFill>
              <a:round/>
            </a:ln>
            <a:effectLst/>
          </c:spPr>
          <c:marker>
            <c:symbol val="none"/>
          </c:marker>
          <c:cat>
            <c:numRef>
              <c:f>'Holt Linear (1)'!$A$10:$A$117</c:f>
              <c:numCache>
                <c:formatCode>m/d/yyyy</c:formatCode>
                <c:ptCount val="108"/>
                <c:pt idx="0">
                  <c:v>17899</c:v>
                </c:pt>
                <c:pt idx="1">
                  <c:v>17930</c:v>
                </c:pt>
                <c:pt idx="2">
                  <c:v>17958</c:v>
                </c:pt>
                <c:pt idx="3">
                  <c:v>17989</c:v>
                </c:pt>
                <c:pt idx="4">
                  <c:v>18019</c:v>
                </c:pt>
                <c:pt idx="5">
                  <c:v>18050</c:v>
                </c:pt>
                <c:pt idx="6">
                  <c:v>18080</c:v>
                </c:pt>
                <c:pt idx="7">
                  <c:v>18111</c:v>
                </c:pt>
                <c:pt idx="8">
                  <c:v>18142</c:v>
                </c:pt>
                <c:pt idx="9">
                  <c:v>18172</c:v>
                </c:pt>
                <c:pt idx="10">
                  <c:v>18203</c:v>
                </c:pt>
                <c:pt idx="11">
                  <c:v>18233</c:v>
                </c:pt>
                <c:pt idx="12">
                  <c:v>18264</c:v>
                </c:pt>
                <c:pt idx="13">
                  <c:v>18295</c:v>
                </c:pt>
                <c:pt idx="14">
                  <c:v>18323</c:v>
                </c:pt>
                <c:pt idx="15">
                  <c:v>18354</c:v>
                </c:pt>
                <c:pt idx="16">
                  <c:v>18384</c:v>
                </c:pt>
                <c:pt idx="17">
                  <c:v>18415</c:v>
                </c:pt>
                <c:pt idx="18">
                  <c:v>18445</c:v>
                </c:pt>
                <c:pt idx="19">
                  <c:v>18476</c:v>
                </c:pt>
                <c:pt idx="20">
                  <c:v>18507</c:v>
                </c:pt>
                <c:pt idx="21">
                  <c:v>18537</c:v>
                </c:pt>
                <c:pt idx="22">
                  <c:v>18568</c:v>
                </c:pt>
                <c:pt idx="23">
                  <c:v>18598</c:v>
                </c:pt>
                <c:pt idx="24">
                  <c:v>18629</c:v>
                </c:pt>
                <c:pt idx="25">
                  <c:v>18660</c:v>
                </c:pt>
                <c:pt idx="26">
                  <c:v>18688</c:v>
                </c:pt>
                <c:pt idx="27">
                  <c:v>18719</c:v>
                </c:pt>
                <c:pt idx="28">
                  <c:v>18749</c:v>
                </c:pt>
                <c:pt idx="29">
                  <c:v>18780</c:v>
                </c:pt>
                <c:pt idx="30">
                  <c:v>18810</c:v>
                </c:pt>
                <c:pt idx="31">
                  <c:v>18841</c:v>
                </c:pt>
                <c:pt idx="32">
                  <c:v>18872</c:v>
                </c:pt>
                <c:pt idx="33">
                  <c:v>18902</c:v>
                </c:pt>
                <c:pt idx="34">
                  <c:v>18933</c:v>
                </c:pt>
                <c:pt idx="35">
                  <c:v>18963</c:v>
                </c:pt>
                <c:pt idx="36">
                  <c:v>18994</c:v>
                </c:pt>
                <c:pt idx="37">
                  <c:v>19025</c:v>
                </c:pt>
                <c:pt idx="38">
                  <c:v>19054</c:v>
                </c:pt>
                <c:pt idx="39">
                  <c:v>19085</c:v>
                </c:pt>
                <c:pt idx="40">
                  <c:v>19115</c:v>
                </c:pt>
                <c:pt idx="41">
                  <c:v>19146</c:v>
                </c:pt>
                <c:pt idx="42">
                  <c:v>19176</c:v>
                </c:pt>
                <c:pt idx="43">
                  <c:v>19207</c:v>
                </c:pt>
                <c:pt idx="44">
                  <c:v>19238</c:v>
                </c:pt>
                <c:pt idx="45">
                  <c:v>19268</c:v>
                </c:pt>
                <c:pt idx="46">
                  <c:v>19299</c:v>
                </c:pt>
                <c:pt idx="47">
                  <c:v>19329</c:v>
                </c:pt>
                <c:pt idx="48">
                  <c:v>19360</c:v>
                </c:pt>
                <c:pt idx="49">
                  <c:v>19391</c:v>
                </c:pt>
                <c:pt idx="50">
                  <c:v>19419</c:v>
                </c:pt>
                <c:pt idx="51">
                  <c:v>19450</c:v>
                </c:pt>
                <c:pt idx="52">
                  <c:v>19480</c:v>
                </c:pt>
                <c:pt idx="53">
                  <c:v>19511</c:v>
                </c:pt>
                <c:pt idx="54">
                  <c:v>19541</c:v>
                </c:pt>
                <c:pt idx="55">
                  <c:v>19572</c:v>
                </c:pt>
                <c:pt idx="56">
                  <c:v>19603</c:v>
                </c:pt>
                <c:pt idx="57">
                  <c:v>19633</c:v>
                </c:pt>
                <c:pt idx="58">
                  <c:v>19664</c:v>
                </c:pt>
                <c:pt idx="59">
                  <c:v>19694</c:v>
                </c:pt>
                <c:pt idx="60">
                  <c:v>19725</c:v>
                </c:pt>
                <c:pt idx="61">
                  <c:v>19756</c:v>
                </c:pt>
                <c:pt idx="62">
                  <c:v>19784</c:v>
                </c:pt>
                <c:pt idx="63">
                  <c:v>19815</c:v>
                </c:pt>
                <c:pt idx="64">
                  <c:v>19845</c:v>
                </c:pt>
                <c:pt idx="65">
                  <c:v>19876</c:v>
                </c:pt>
                <c:pt idx="66">
                  <c:v>19906</c:v>
                </c:pt>
                <c:pt idx="67">
                  <c:v>19937</c:v>
                </c:pt>
                <c:pt idx="68">
                  <c:v>19968</c:v>
                </c:pt>
                <c:pt idx="69">
                  <c:v>19998</c:v>
                </c:pt>
                <c:pt idx="70">
                  <c:v>20029</c:v>
                </c:pt>
                <c:pt idx="71">
                  <c:v>20059</c:v>
                </c:pt>
                <c:pt idx="72">
                  <c:v>20090</c:v>
                </c:pt>
                <c:pt idx="73">
                  <c:v>20121</c:v>
                </c:pt>
                <c:pt idx="74">
                  <c:v>20149</c:v>
                </c:pt>
                <c:pt idx="75">
                  <c:v>20180</c:v>
                </c:pt>
                <c:pt idx="76">
                  <c:v>20210</c:v>
                </c:pt>
                <c:pt idx="77">
                  <c:v>20241</c:v>
                </c:pt>
                <c:pt idx="78">
                  <c:v>20271</c:v>
                </c:pt>
                <c:pt idx="79">
                  <c:v>20302</c:v>
                </c:pt>
                <c:pt idx="80">
                  <c:v>20333</c:v>
                </c:pt>
                <c:pt idx="81">
                  <c:v>20363</c:v>
                </c:pt>
                <c:pt idx="82">
                  <c:v>20394</c:v>
                </c:pt>
                <c:pt idx="83">
                  <c:v>20424</c:v>
                </c:pt>
                <c:pt idx="84">
                  <c:v>20455</c:v>
                </c:pt>
                <c:pt idx="85">
                  <c:v>20486</c:v>
                </c:pt>
                <c:pt idx="86">
                  <c:v>20515</c:v>
                </c:pt>
                <c:pt idx="87">
                  <c:v>20546</c:v>
                </c:pt>
                <c:pt idx="88">
                  <c:v>20576</c:v>
                </c:pt>
                <c:pt idx="89">
                  <c:v>20607</c:v>
                </c:pt>
                <c:pt idx="90">
                  <c:v>20637</c:v>
                </c:pt>
                <c:pt idx="91">
                  <c:v>20668</c:v>
                </c:pt>
                <c:pt idx="92">
                  <c:v>20699</c:v>
                </c:pt>
                <c:pt idx="93">
                  <c:v>20729</c:v>
                </c:pt>
                <c:pt idx="94">
                  <c:v>20760</c:v>
                </c:pt>
                <c:pt idx="95">
                  <c:v>20790</c:v>
                </c:pt>
                <c:pt idx="96">
                  <c:v>20821</c:v>
                </c:pt>
                <c:pt idx="97">
                  <c:v>20852</c:v>
                </c:pt>
                <c:pt idx="98">
                  <c:v>20880</c:v>
                </c:pt>
                <c:pt idx="99">
                  <c:v>20911</c:v>
                </c:pt>
                <c:pt idx="100">
                  <c:v>20941</c:v>
                </c:pt>
                <c:pt idx="101">
                  <c:v>20972</c:v>
                </c:pt>
                <c:pt idx="102">
                  <c:v>21002</c:v>
                </c:pt>
                <c:pt idx="103">
                  <c:v>21033</c:v>
                </c:pt>
                <c:pt idx="104">
                  <c:v>21064</c:v>
                </c:pt>
                <c:pt idx="105">
                  <c:v>21094</c:v>
                </c:pt>
                <c:pt idx="106">
                  <c:v>21125</c:v>
                </c:pt>
                <c:pt idx="107">
                  <c:v>21155</c:v>
                </c:pt>
              </c:numCache>
            </c:numRef>
          </c:cat>
          <c:val>
            <c:numRef>
              <c:f>'Holt Linear (1)'!$B$10:$B$117</c:f>
              <c:numCache>
                <c:formatCode>General</c:formatCode>
                <c:ptCount val="108"/>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numCache>
            </c:numRef>
          </c:val>
          <c:smooth val="0"/>
          <c:extLst>
            <c:ext xmlns:c16="http://schemas.microsoft.com/office/drawing/2014/chart" uri="{C3380CC4-5D6E-409C-BE32-E72D297353CC}">
              <c16:uniqueId val="{00000000-B716-4D36-AFDF-C6D656BA88F5}"/>
            </c:ext>
          </c:extLst>
        </c:ser>
        <c:ser>
          <c:idx val="1"/>
          <c:order val="1"/>
          <c:tx>
            <c:strRef>
              <c:f>'Holt Linear (1)'!$F$8</c:f>
              <c:strCache>
                <c:ptCount val="1"/>
                <c:pt idx="0">
                  <c:v>Model</c:v>
                </c:pt>
              </c:strCache>
            </c:strRef>
          </c:tx>
          <c:spPr>
            <a:ln w="28575" cap="rnd">
              <a:solidFill>
                <a:schemeClr val="accent2"/>
              </a:solidFill>
              <a:round/>
            </a:ln>
            <a:effectLst/>
          </c:spPr>
          <c:marker>
            <c:symbol val="none"/>
          </c:marker>
          <c:cat>
            <c:numRef>
              <c:f>'Holt Linear (1)'!$A$10:$A$117</c:f>
              <c:numCache>
                <c:formatCode>m/d/yyyy</c:formatCode>
                <c:ptCount val="108"/>
                <c:pt idx="0">
                  <c:v>17899</c:v>
                </c:pt>
                <c:pt idx="1">
                  <c:v>17930</c:v>
                </c:pt>
                <c:pt idx="2">
                  <c:v>17958</c:v>
                </c:pt>
                <c:pt idx="3">
                  <c:v>17989</c:v>
                </c:pt>
                <c:pt idx="4">
                  <c:v>18019</c:v>
                </c:pt>
                <c:pt idx="5">
                  <c:v>18050</c:v>
                </c:pt>
                <c:pt idx="6">
                  <c:v>18080</c:v>
                </c:pt>
                <c:pt idx="7">
                  <c:v>18111</c:v>
                </c:pt>
                <c:pt idx="8">
                  <c:v>18142</c:v>
                </c:pt>
                <c:pt idx="9">
                  <c:v>18172</c:v>
                </c:pt>
                <c:pt idx="10">
                  <c:v>18203</c:v>
                </c:pt>
                <c:pt idx="11">
                  <c:v>18233</c:v>
                </c:pt>
                <c:pt idx="12">
                  <c:v>18264</c:v>
                </c:pt>
                <c:pt idx="13">
                  <c:v>18295</c:v>
                </c:pt>
                <c:pt idx="14">
                  <c:v>18323</c:v>
                </c:pt>
                <c:pt idx="15">
                  <c:v>18354</c:v>
                </c:pt>
                <c:pt idx="16">
                  <c:v>18384</c:v>
                </c:pt>
                <c:pt idx="17">
                  <c:v>18415</c:v>
                </c:pt>
                <c:pt idx="18">
                  <c:v>18445</c:v>
                </c:pt>
                <c:pt idx="19">
                  <c:v>18476</c:v>
                </c:pt>
                <c:pt idx="20">
                  <c:v>18507</c:v>
                </c:pt>
                <c:pt idx="21">
                  <c:v>18537</c:v>
                </c:pt>
                <c:pt idx="22">
                  <c:v>18568</c:v>
                </c:pt>
                <c:pt idx="23">
                  <c:v>18598</c:v>
                </c:pt>
                <c:pt idx="24">
                  <c:v>18629</c:v>
                </c:pt>
                <c:pt idx="25">
                  <c:v>18660</c:v>
                </c:pt>
                <c:pt idx="26">
                  <c:v>18688</c:v>
                </c:pt>
                <c:pt idx="27">
                  <c:v>18719</c:v>
                </c:pt>
                <c:pt idx="28">
                  <c:v>18749</c:v>
                </c:pt>
                <c:pt idx="29">
                  <c:v>18780</c:v>
                </c:pt>
                <c:pt idx="30">
                  <c:v>18810</c:v>
                </c:pt>
                <c:pt idx="31">
                  <c:v>18841</c:v>
                </c:pt>
                <c:pt idx="32">
                  <c:v>18872</c:v>
                </c:pt>
                <c:pt idx="33">
                  <c:v>18902</c:v>
                </c:pt>
                <c:pt idx="34">
                  <c:v>18933</c:v>
                </c:pt>
                <c:pt idx="35">
                  <c:v>18963</c:v>
                </c:pt>
                <c:pt idx="36">
                  <c:v>18994</c:v>
                </c:pt>
                <c:pt idx="37">
                  <c:v>19025</c:v>
                </c:pt>
                <c:pt idx="38">
                  <c:v>19054</c:v>
                </c:pt>
                <c:pt idx="39">
                  <c:v>19085</c:v>
                </c:pt>
                <c:pt idx="40">
                  <c:v>19115</c:v>
                </c:pt>
                <c:pt idx="41">
                  <c:v>19146</c:v>
                </c:pt>
                <c:pt idx="42">
                  <c:v>19176</c:v>
                </c:pt>
                <c:pt idx="43">
                  <c:v>19207</c:v>
                </c:pt>
                <c:pt idx="44">
                  <c:v>19238</c:v>
                </c:pt>
                <c:pt idx="45">
                  <c:v>19268</c:v>
                </c:pt>
                <c:pt idx="46">
                  <c:v>19299</c:v>
                </c:pt>
                <c:pt idx="47">
                  <c:v>19329</c:v>
                </c:pt>
                <c:pt idx="48">
                  <c:v>19360</c:v>
                </c:pt>
                <c:pt idx="49">
                  <c:v>19391</c:v>
                </c:pt>
                <c:pt idx="50">
                  <c:v>19419</c:v>
                </c:pt>
                <c:pt idx="51">
                  <c:v>19450</c:v>
                </c:pt>
                <c:pt idx="52">
                  <c:v>19480</c:v>
                </c:pt>
                <c:pt idx="53">
                  <c:v>19511</c:v>
                </c:pt>
                <c:pt idx="54">
                  <c:v>19541</c:v>
                </c:pt>
                <c:pt idx="55">
                  <c:v>19572</c:v>
                </c:pt>
                <c:pt idx="56">
                  <c:v>19603</c:v>
                </c:pt>
                <c:pt idx="57">
                  <c:v>19633</c:v>
                </c:pt>
                <c:pt idx="58">
                  <c:v>19664</c:v>
                </c:pt>
                <c:pt idx="59">
                  <c:v>19694</c:v>
                </c:pt>
                <c:pt idx="60">
                  <c:v>19725</c:v>
                </c:pt>
                <c:pt idx="61">
                  <c:v>19756</c:v>
                </c:pt>
                <c:pt idx="62">
                  <c:v>19784</c:v>
                </c:pt>
                <c:pt idx="63">
                  <c:v>19815</c:v>
                </c:pt>
                <c:pt idx="64">
                  <c:v>19845</c:v>
                </c:pt>
                <c:pt idx="65">
                  <c:v>19876</c:v>
                </c:pt>
                <c:pt idx="66">
                  <c:v>19906</c:v>
                </c:pt>
                <c:pt idx="67">
                  <c:v>19937</c:v>
                </c:pt>
                <c:pt idx="68">
                  <c:v>19968</c:v>
                </c:pt>
                <c:pt idx="69">
                  <c:v>19998</c:v>
                </c:pt>
                <c:pt idx="70">
                  <c:v>20029</c:v>
                </c:pt>
                <c:pt idx="71">
                  <c:v>20059</c:v>
                </c:pt>
                <c:pt idx="72">
                  <c:v>20090</c:v>
                </c:pt>
                <c:pt idx="73">
                  <c:v>20121</c:v>
                </c:pt>
                <c:pt idx="74">
                  <c:v>20149</c:v>
                </c:pt>
                <c:pt idx="75">
                  <c:v>20180</c:v>
                </c:pt>
                <c:pt idx="76">
                  <c:v>20210</c:v>
                </c:pt>
                <c:pt idx="77">
                  <c:v>20241</c:v>
                </c:pt>
                <c:pt idx="78">
                  <c:v>20271</c:v>
                </c:pt>
                <c:pt idx="79">
                  <c:v>20302</c:v>
                </c:pt>
                <c:pt idx="80">
                  <c:v>20333</c:v>
                </c:pt>
                <c:pt idx="81">
                  <c:v>20363</c:v>
                </c:pt>
                <c:pt idx="82">
                  <c:v>20394</c:v>
                </c:pt>
                <c:pt idx="83">
                  <c:v>20424</c:v>
                </c:pt>
                <c:pt idx="84">
                  <c:v>20455</c:v>
                </c:pt>
                <c:pt idx="85">
                  <c:v>20486</c:v>
                </c:pt>
                <c:pt idx="86">
                  <c:v>20515</c:v>
                </c:pt>
                <c:pt idx="87">
                  <c:v>20546</c:v>
                </c:pt>
                <c:pt idx="88">
                  <c:v>20576</c:v>
                </c:pt>
                <c:pt idx="89">
                  <c:v>20607</c:v>
                </c:pt>
                <c:pt idx="90">
                  <c:v>20637</c:v>
                </c:pt>
                <c:pt idx="91">
                  <c:v>20668</c:v>
                </c:pt>
                <c:pt idx="92">
                  <c:v>20699</c:v>
                </c:pt>
                <c:pt idx="93">
                  <c:v>20729</c:v>
                </c:pt>
                <c:pt idx="94">
                  <c:v>20760</c:v>
                </c:pt>
                <c:pt idx="95">
                  <c:v>20790</c:v>
                </c:pt>
                <c:pt idx="96">
                  <c:v>20821</c:v>
                </c:pt>
                <c:pt idx="97">
                  <c:v>20852</c:v>
                </c:pt>
                <c:pt idx="98">
                  <c:v>20880</c:v>
                </c:pt>
                <c:pt idx="99">
                  <c:v>20911</c:v>
                </c:pt>
                <c:pt idx="100">
                  <c:v>20941</c:v>
                </c:pt>
                <c:pt idx="101">
                  <c:v>20972</c:v>
                </c:pt>
                <c:pt idx="102">
                  <c:v>21002</c:v>
                </c:pt>
                <c:pt idx="103">
                  <c:v>21033</c:v>
                </c:pt>
                <c:pt idx="104">
                  <c:v>21064</c:v>
                </c:pt>
                <c:pt idx="105">
                  <c:v>21094</c:v>
                </c:pt>
                <c:pt idx="106">
                  <c:v>21125</c:v>
                </c:pt>
                <c:pt idx="107">
                  <c:v>21155</c:v>
                </c:pt>
              </c:numCache>
            </c:numRef>
          </c:cat>
          <c:val>
            <c:numRef>
              <c:f>'Holt Linear (1)'!$F$10:$F$117</c:f>
              <c:numCache>
                <c:formatCode>_(* #,##0.00_);_(* \(#,##0.00\);_(* "-"??_);_(@_)</c:formatCode>
                <c:ptCount val="108"/>
                <c:pt idx="0">
                  <c:v>105.2505015</c:v>
                </c:pt>
                <c:pt idx="1">
                  <c:v>114.33979841645788</c:v>
                </c:pt>
                <c:pt idx="2">
                  <c:v>120.38158351132962</c:v>
                </c:pt>
                <c:pt idx="3">
                  <c:v>134.27823735574532</c:v>
                </c:pt>
                <c:pt idx="4">
                  <c:v>131.50161546593989</c:v>
                </c:pt>
                <c:pt idx="5">
                  <c:v>123.56885993599286</c:v>
                </c:pt>
                <c:pt idx="6">
                  <c:v>137.27983776845673</c:v>
                </c:pt>
                <c:pt idx="7">
                  <c:v>150.29146987784057</c:v>
                </c:pt>
                <c:pt idx="8">
                  <c:v>150.46384881777928</c:v>
                </c:pt>
                <c:pt idx="9">
                  <c:v>138.62259530977227</c:v>
                </c:pt>
                <c:pt idx="10">
                  <c:v>121.68712005130564</c:v>
                </c:pt>
                <c:pt idx="11">
                  <c:v>106.65780009038488</c:v>
                </c:pt>
                <c:pt idx="12">
                  <c:v>120.27448901245407</c:v>
                </c:pt>
                <c:pt idx="13">
                  <c:v>117.49414883348038</c:v>
                </c:pt>
                <c:pt idx="14">
                  <c:v>128.312826437875</c:v>
                </c:pt>
                <c:pt idx="15">
                  <c:v>143.2598706053341</c:v>
                </c:pt>
                <c:pt idx="16">
                  <c:v>137.53644568976171</c:v>
                </c:pt>
                <c:pt idx="17">
                  <c:v>127.59069761547569</c:v>
                </c:pt>
                <c:pt idx="18">
                  <c:v>151.14413092762746</c:v>
                </c:pt>
                <c:pt idx="19">
                  <c:v>172.18189832992402</c:v>
                </c:pt>
                <c:pt idx="20">
                  <c:v>172.46091880948248</c:v>
                </c:pt>
                <c:pt idx="21">
                  <c:v>160.62108252556433</c:v>
                </c:pt>
                <c:pt idx="22">
                  <c:v>135.79026597924008</c:v>
                </c:pt>
                <c:pt idx="23">
                  <c:v>116.70836304595373</c:v>
                </c:pt>
                <c:pt idx="24">
                  <c:v>142.11424777272748</c:v>
                </c:pt>
                <c:pt idx="25">
                  <c:v>147.38590839145857</c:v>
                </c:pt>
                <c:pt idx="26">
                  <c:v>152.39005054400982</c:v>
                </c:pt>
                <c:pt idx="27">
                  <c:v>180.08979935202063</c:v>
                </c:pt>
                <c:pt idx="28">
                  <c:v>165.65353559260126</c:v>
                </c:pt>
                <c:pt idx="29">
                  <c:v>174.34350327909021</c:v>
                </c:pt>
                <c:pt idx="30">
                  <c:v>180.37998292848314</c:v>
                </c:pt>
                <c:pt idx="31">
                  <c:v>201.18500699204625</c:v>
                </c:pt>
                <c:pt idx="32">
                  <c:v>201.46093507476155</c:v>
                </c:pt>
                <c:pt idx="33">
                  <c:v>186.66029754951839</c:v>
                </c:pt>
                <c:pt idx="34">
                  <c:v>164.75090187617263</c:v>
                </c:pt>
                <c:pt idx="35">
                  <c:v>148.66857528872748</c:v>
                </c:pt>
                <c:pt idx="36">
                  <c:v>168.1927941892726</c:v>
                </c:pt>
                <c:pt idx="37">
                  <c:v>173.38630673154643</c:v>
                </c:pt>
                <c:pt idx="38">
                  <c:v>182.33709089524277</c:v>
                </c:pt>
                <c:pt idx="39">
                  <c:v>195.28547690926592</c:v>
                </c:pt>
                <c:pt idx="40">
                  <c:v>183.61397627653065</c:v>
                </c:pt>
                <c:pt idx="41">
                  <c:v>185.43223877850482</c:v>
                </c:pt>
                <c:pt idx="42">
                  <c:v>219.9980981226887</c:v>
                </c:pt>
                <c:pt idx="43">
                  <c:v>232.29990391498833</c:v>
                </c:pt>
                <c:pt idx="44">
                  <c:v>244.30589243556705</c:v>
                </c:pt>
                <c:pt idx="45">
                  <c:v>211.89654771843738</c:v>
                </c:pt>
                <c:pt idx="46">
                  <c:v>193.70086998270509</c:v>
                </c:pt>
                <c:pt idx="47">
                  <c:v>174.70712647488816</c:v>
                </c:pt>
                <c:pt idx="48">
                  <c:v>196.16650235232055</c:v>
                </c:pt>
                <c:pt idx="49">
                  <c:v>198.4249667261937</c:v>
                </c:pt>
                <c:pt idx="50">
                  <c:v>198.45447334551901</c:v>
                </c:pt>
                <c:pt idx="51">
                  <c:v>237.93116658387456</c:v>
                </c:pt>
                <c:pt idx="52">
                  <c:v>237.46826086390251</c:v>
                </c:pt>
                <c:pt idx="53">
                  <c:v>231.54008765139537</c:v>
                </c:pt>
                <c:pt idx="54">
                  <c:v>245.27770022643139</c:v>
                </c:pt>
                <c:pt idx="55">
                  <c:v>266.18504701085743</c:v>
                </c:pt>
                <c:pt idx="56">
                  <c:v>274.35769476338118</c:v>
                </c:pt>
                <c:pt idx="57">
                  <c:v>239.92357727133745</c:v>
                </c:pt>
                <c:pt idx="58">
                  <c:v>213.80563651565495</c:v>
                </c:pt>
                <c:pt idx="59">
                  <c:v>182.86359165354386</c:v>
                </c:pt>
                <c:pt idx="60">
                  <c:v>203.17729431574838</c:v>
                </c:pt>
                <c:pt idx="61">
                  <c:v>206.40745741736816</c:v>
                </c:pt>
                <c:pt idx="62">
                  <c:v>190.65915480951676</c:v>
                </c:pt>
                <c:pt idx="63">
                  <c:v>236.83465423434021</c:v>
                </c:pt>
                <c:pt idx="64">
                  <c:v>229.55231477928936</c:v>
                </c:pt>
                <c:pt idx="65">
                  <c:v>236.36349574489731</c:v>
                </c:pt>
                <c:pt idx="66">
                  <c:v>266.06109478082129</c:v>
                </c:pt>
                <c:pt idx="67">
                  <c:v>303.95813912312605</c:v>
                </c:pt>
                <c:pt idx="68">
                  <c:v>295.57888342044441</c:v>
                </c:pt>
                <c:pt idx="69">
                  <c:v>261.91176536159054</c:v>
                </c:pt>
                <c:pt idx="70">
                  <c:v>231.85633562515739</c:v>
                </c:pt>
                <c:pt idx="71">
                  <c:v>205.79657507847125</c:v>
                </c:pt>
                <c:pt idx="72">
                  <c:v>231.10974794479031</c:v>
                </c:pt>
                <c:pt idx="73">
                  <c:v>244.27553832032029</c:v>
                </c:pt>
                <c:pt idx="74">
                  <c:v>235.56768787372732</c:v>
                </c:pt>
                <c:pt idx="75">
                  <c:v>269.00677064185714</c:v>
                </c:pt>
                <c:pt idx="76">
                  <c:v>271.42440603578007</c:v>
                </c:pt>
                <c:pt idx="77">
                  <c:v>272.44294725021501</c:v>
                </c:pt>
                <c:pt idx="78">
                  <c:v>316.86738144040885</c:v>
                </c:pt>
                <c:pt idx="79">
                  <c:v>365.8162171702225</c:v>
                </c:pt>
                <c:pt idx="80">
                  <c:v>349.68844200096385</c:v>
                </c:pt>
                <c:pt idx="81">
                  <c:v>314.93145020090452</c:v>
                </c:pt>
                <c:pt idx="82">
                  <c:v>276.96617814199487</c:v>
                </c:pt>
                <c:pt idx="83">
                  <c:v>239.94520025465948</c:v>
                </c:pt>
                <c:pt idx="84">
                  <c:v>279.91653477546379</c:v>
                </c:pt>
                <c:pt idx="85">
                  <c:v>286.36864322603185</c:v>
                </c:pt>
                <c:pt idx="86">
                  <c:v>279.5454293361621</c:v>
                </c:pt>
                <c:pt idx="87">
                  <c:v>318.9310724754427</c:v>
                </c:pt>
                <c:pt idx="88">
                  <c:v>315.50619710655127</c:v>
                </c:pt>
                <c:pt idx="89">
                  <c:v>320.39478992978553</c:v>
                </c:pt>
                <c:pt idx="90">
                  <c:v>375.72676429374684</c:v>
                </c:pt>
                <c:pt idx="91">
                  <c:v>414.95132395187306</c:v>
                </c:pt>
                <c:pt idx="92">
                  <c:v>407.57662440617082</c:v>
                </c:pt>
                <c:pt idx="93">
                  <c:v>358.13213048636379</c:v>
                </c:pt>
                <c:pt idx="94">
                  <c:v>309.11558811835067</c:v>
                </c:pt>
                <c:pt idx="95">
                  <c:v>273.9216147744325</c:v>
                </c:pt>
                <c:pt idx="96">
                  <c:v>307.99570371906361</c:v>
                </c:pt>
                <c:pt idx="97">
                  <c:v>317.33021716335412</c:v>
                </c:pt>
                <c:pt idx="98">
                  <c:v>303.63686061228782</c:v>
                </c:pt>
                <c:pt idx="99">
                  <c:v>357.73502291267488</c:v>
                </c:pt>
                <c:pt idx="100">
                  <c:v>350.55794844132004</c:v>
                </c:pt>
                <c:pt idx="101">
                  <c:v>357.37052659740641</c:v>
                </c:pt>
                <c:pt idx="102">
                  <c:v>423.58418471508878</c:v>
                </c:pt>
                <c:pt idx="103">
                  <c:v>466.90100596544664</c:v>
                </c:pt>
                <c:pt idx="104">
                  <c:v>469.44987881895315</c:v>
                </c:pt>
                <c:pt idx="105">
                  <c:v>407.30727481040344</c:v>
                </c:pt>
                <c:pt idx="106">
                  <c:v>350.22665458631934</c:v>
                </c:pt>
                <c:pt idx="107">
                  <c:v>308.01709499864802</c:v>
                </c:pt>
              </c:numCache>
            </c:numRef>
          </c:val>
          <c:smooth val="0"/>
          <c:extLst>
            <c:ext xmlns:c16="http://schemas.microsoft.com/office/drawing/2014/chart" uri="{C3380CC4-5D6E-409C-BE32-E72D297353CC}">
              <c16:uniqueId val="{00000001-B716-4D36-AFDF-C6D656BA88F5}"/>
            </c:ext>
          </c:extLst>
        </c:ser>
        <c:dLbls>
          <c:showLegendKey val="0"/>
          <c:showVal val="0"/>
          <c:showCatName val="0"/>
          <c:showSerName val="0"/>
          <c:showPercent val="0"/>
          <c:showBubbleSize val="0"/>
        </c:dLbls>
        <c:smooth val="0"/>
        <c:axId val="1486141200"/>
        <c:axId val="1486139952"/>
      </c:lineChart>
      <c:dateAx>
        <c:axId val="1486141200"/>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39952"/>
        <c:crosses val="autoZero"/>
        <c:auto val="1"/>
        <c:lblOffset val="100"/>
        <c:baseTimeUnit val="months"/>
      </c:dateAx>
      <c:valAx>
        <c:axId val="148613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41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Passengers vs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'Holt Linear (2)'!$B$8</c:f>
              <c:strCache>
                <c:ptCount val="1"/>
                <c:pt idx="0">
                  <c:v>Thousands of Passengers</c:v>
                </c:pt>
              </c:strCache>
            </c:strRef>
          </c:tx>
          <c:spPr>
            <a:ln w="28575" cap="rnd">
              <a:solidFill>
                <a:schemeClr val="accent1"/>
              </a:solidFill>
              <a:round/>
            </a:ln>
            <a:effectLst/>
          </c:spPr>
          <c:marker>
            <c:symbol val="none"/>
          </c:marker>
          <c:cat>
            <c:numRef>
              <c:f>'Holt Linear (2)'!$A$10:$A$117</c:f>
              <c:numCache>
                <c:formatCode>m/d/yyyy</c:formatCode>
                <c:ptCount val="108"/>
                <c:pt idx="0">
                  <c:v>17899</c:v>
                </c:pt>
                <c:pt idx="1">
                  <c:v>17930</c:v>
                </c:pt>
                <c:pt idx="2">
                  <c:v>17958</c:v>
                </c:pt>
                <c:pt idx="3">
                  <c:v>17989</c:v>
                </c:pt>
                <c:pt idx="4">
                  <c:v>18019</c:v>
                </c:pt>
                <c:pt idx="5">
                  <c:v>18050</c:v>
                </c:pt>
                <c:pt idx="6">
                  <c:v>18080</c:v>
                </c:pt>
                <c:pt idx="7">
                  <c:v>18111</c:v>
                </c:pt>
                <c:pt idx="8">
                  <c:v>18142</c:v>
                </c:pt>
                <c:pt idx="9">
                  <c:v>18172</c:v>
                </c:pt>
                <c:pt idx="10">
                  <c:v>18203</c:v>
                </c:pt>
                <c:pt idx="11">
                  <c:v>18233</c:v>
                </c:pt>
                <c:pt idx="12">
                  <c:v>18264</c:v>
                </c:pt>
                <c:pt idx="13">
                  <c:v>18295</c:v>
                </c:pt>
                <c:pt idx="14">
                  <c:v>18323</c:v>
                </c:pt>
                <c:pt idx="15">
                  <c:v>18354</c:v>
                </c:pt>
                <c:pt idx="16">
                  <c:v>18384</c:v>
                </c:pt>
                <c:pt idx="17">
                  <c:v>18415</c:v>
                </c:pt>
                <c:pt idx="18">
                  <c:v>18445</c:v>
                </c:pt>
                <c:pt idx="19">
                  <c:v>18476</c:v>
                </c:pt>
                <c:pt idx="20">
                  <c:v>18507</c:v>
                </c:pt>
                <c:pt idx="21">
                  <c:v>18537</c:v>
                </c:pt>
                <c:pt idx="22">
                  <c:v>18568</c:v>
                </c:pt>
                <c:pt idx="23">
                  <c:v>18598</c:v>
                </c:pt>
                <c:pt idx="24">
                  <c:v>18629</c:v>
                </c:pt>
                <c:pt idx="25">
                  <c:v>18660</c:v>
                </c:pt>
                <c:pt idx="26">
                  <c:v>18688</c:v>
                </c:pt>
                <c:pt idx="27">
                  <c:v>18719</c:v>
                </c:pt>
                <c:pt idx="28">
                  <c:v>18749</c:v>
                </c:pt>
                <c:pt idx="29">
                  <c:v>18780</c:v>
                </c:pt>
                <c:pt idx="30">
                  <c:v>18810</c:v>
                </c:pt>
                <c:pt idx="31">
                  <c:v>18841</c:v>
                </c:pt>
                <c:pt idx="32">
                  <c:v>18872</c:v>
                </c:pt>
                <c:pt idx="33">
                  <c:v>18902</c:v>
                </c:pt>
                <c:pt idx="34">
                  <c:v>18933</c:v>
                </c:pt>
                <c:pt idx="35">
                  <c:v>18963</c:v>
                </c:pt>
                <c:pt idx="36">
                  <c:v>18994</c:v>
                </c:pt>
                <c:pt idx="37">
                  <c:v>19025</c:v>
                </c:pt>
                <c:pt idx="38">
                  <c:v>19054</c:v>
                </c:pt>
                <c:pt idx="39">
                  <c:v>19085</c:v>
                </c:pt>
                <c:pt idx="40">
                  <c:v>19115</c:v>
                </c:pt>
                <c:pt idx="41">
                  <c:v>19146</c:v>
                </c:pt>
                <c:pt idx="42">
                  <c:v>19176</c:v>
                </c:pt>
                <c:pt idx="43">
                  <c:v>19207</c:v>
                </c:pt>
                <c:pt idx="44">
                  <c:v>19238</c:v>
                </c:pt>
                <c:pt idx="45">
                  <c:v>19268</c:v>
                </c:pt>
                <c:pt idx="46">
                  <c:v>19299</c:v>
                </c:pt>
                <c:pt idx="47">
                  <c:v>19329</c:v>
                </c:pt>
                <c:pt idx="48">
                  <c:v>19360</c:v>
                </c:pt>
                <c:pt idx="49">
                  <c:v>19391</c:v>
                </c:pt>
                <c:pt idx="50">
                  <c:v>19419</c:v>
                </c:pt>
                <c:pt idx="51">
                  <c:v>19450</c:v>
                </c:pt>
                <c:pt idx="52">
                  <c:v>19480</c:v>
                </c:pt>
                <c:pt idx="53">
                  <c:v>19511</c:v>
                </c:pt>
                <c:pt idx="54">
                  <c:v>19541</c:v>
                </c:pt>
                <c:pt idx="55">
                  <c:v>19572</c:v>
                </c:pt>
                <c:pt idx="56">
                  <c:v>19603</c:v>
                </c:pt>
                <c:pt idx="57">
                  <c:v>19633</c:v>
                </c:pt>
                <c:pt idx="58">
                  <c:v>19664</c:v>
                </c:pt>
                <c:pt idx="59">
                  <c:v>19694</c:v>
                </c:pt>
                <c:pt idx="60">
                  <c:v>19725</c:v>
                </c:pt>
                <c:pt idx="61">
                  <c:v>19756</c:v>
                </c:pt>
                <c:pt idx="62">
                  <c:v>19784</c:v>
                </c:pt>
                <c:pt idx="63">
                  <c:v>19815</c:v>
                </c:pt>
                <c:pt idx="64">
                  <c:v>19845</c:v>
                </c:pt>
                <c:pt idx="65">
                  <c:v>19876</c:v>
                </c:pt>
                <c:pt idx="66">
                  <c:v>19906</c:v>
                </c:pt>
                <c:pt idx="67">
                  <c:v>19937</c:v>
                </c:pt>
                <c:pt idx="68">
                  <c:v>19968</c:v>
                </c:pt>
                <c:pt idx="69">
                  <c:v>19998</c:v>
                </c:pt>
                <c:pt idx="70">
                  <c:v>20029</c:v>
                </c:pt>
                <c:pt idx="71">
                  <c:v>20059</c:v>
                </c:pt>
                <c:pt idx="72">
                  <c:v>20090</c:v>
                </c:pt>
                <c:pt idx="73">
                  <c:v>20121</c:v>
                </c:pt>
                <c:pt idx="74">
                  <c:v>20149</c:v>
                </c:pt>
                <c:pt idx="75">
                  <c:v>20180</c:v>
                </c:pt>
                <c:pt idx="76">
                  <c:v>20210</c:v>
                </c:pt>
                <c:pt idx="77">
                  <c:v>20241</c:v>
                </c:pt>
                <c:pt idx="78">
                  <c:v>20271</c:v>
                </c:pt>
                <c:pt idx="79">
                  <c:v>20302</c:v>
                </c:pt>
                <c:pt idx="80">
                  <c:v>20333</c:v>
                </c:pt>
                <c:pt idx="81">
                  <c:v>20363</c:v>
                </c:pt>
                <c:pt idx="82">
                  <c:v>20394</c:v>
                </c:pt>
                <c:pt idx="83">
                  <c:v>20424</c:v>
                </c:pt>
                <c:pt idx="84">
                  <c:v>20455</c:v>
                </c:pt>
                <c:pt idx="85">
                  <c:v>20486</c:v>
                </c:pt>
                <c:pt idx="86">
                  <c:v>20515</c:v>
                </c:pt>
                <c:pt idx="87">
                  <c:v>20546</c:v>
                </c:pt>
                <c:pt idx="88">
                  <c:v>20576</c:v>
                </c:pt>
                <c:pt idx="89">
                  <c:v>20607</c:v>
                </c:pt>
                <c:pt idx="90">
                  <c:v>20637</c:v>
                </c:pt>
                <c:pt idx="91">
                  <c:v>20668</c:v>
                </c:pt>
                <c:pt idx="92">
                  <c:v>20699</c:v>
                </c:pt>
                <c:pt idx="93">
                  <c:v>20729</c:v>
                </c:pt>
                <c:pt idx="94">
                  <c:v>20760</c:v>
                </c:pt>
                <c:pt idx="95">
                  <c:v>20790</c:v>
                </c:pt>
                <c:pt idx="96">
                  <c:v>20821</c:v>
                </c:pt>
                <c:pt idx="97">
                  <c:v>20852</c:v>
                </c:pt>
                <c:pt idx="98">
                  <c:v>20880</c:v>
                </c:pt>
                <c:pt idx="99">
                  <c:v>20911</c:v>
                </c:pt>
                <c:pt idx="100">
                  <c:v>20941</c:v>
                </c:pt>
                <c:pt idx="101">
                  <c:v>20972</c:v>
                </c:pt>
                <c:pt idx="102">
                  <c:v>21002</c:v>
                </c:pt>
                <c:pt idx="103">
                  <c:v>21033</c:v>
                </c:pt>
                <c:pt idx="104">
                  <c:v>21064</c:v>
                </c:pt>
                <c:pt idx="105">
                  <c:v>21094</c:v>
                </c:pt>
                <c:pt idx="106">
                  <c:v>21125</c:v>
                </c:pt>
                <c:pt idx="107">
                  <c:v>21155</c:v>
                </c:pt>
              </c:numCache>
            </c:numRef>
          </c:cat>
          <c:val>
            <c:numRef>
              <c:f>'Holt Linear (2)'!$B$10:$B$117</c:f>
              <c:numCache>
                <c:formatCode>General</c:formatCode>
                <c:ptCount val="108"/>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numCache>
            </c:numRef>
          </c:val>
          <c:smooth val="0"/>
          <c:extLst>
            <c:ext xmlns:c16="http://schemas.microsoft.com/office/drawing/2014/chart" uri="{C3380CC4-5D6E-409C-BE32-E72D297353CC}">
              <c16:uniqueId val="{00000000-72B2-4E8F-9183-F8AFAAEF968B}"/>
            </c:ext>
          </c:extLst>
        </c:ser>
        <c:ser>
          <c:idx val="1"/>
          <c:order val="1"/>
          <c:tx>
            <c:strRef>
              <c:f>'Holt Linear (2)'!$F$8</c:f>
              <c:strCache>
                <c:ptCount val="1"/>
                <c:pt idx="0">
                  <c:v>Model</c:v>
                </c:pt>
              </c:strCache>
            </c:strRef>
          </c:tx>
          <c:spPr>
            <a:ln w="28575" cap="rnd">
              <a:solidFill>
                <a:schemeClr val="accent2"/>
              </a:solidFill>
              <a:round/>
            </a:ln>
            <a:effectLst/>
          </c:spPr>
          <c:marker>
            <c:symbol val="none"/>
          </c:marker>
          <c:cat>
            <c:numRef>
              <c:f>'Holt Linear (2)'!$A$10:$A$117</c:f>
              <c:numCache>
                <c:formatCode>m/d/yyyy</c:formatCode>
                <c:ptCount val="108"/>
                <c:pt idx="0">
                  <c:v>17899</c:v>
                </c:pt>
                <c:pt idx="1">
                  <c:v>17930</c:v>
                </c:pt>
                <c:pt idx="2">
                  <c:v>17958</c:v>
                </c:pt>
                <c:pt idx="3">
                  <c:v>17989</c:v>
                </c:pt>
                <c:pt idx="4">
                  <c:v>18019</c:v>
                </c:pt>
                <c:pt idx="5">
                  <c:v>18050</c:v>
                </c:pt>
                <c:pt idx="6">
                  <c:v>18080</c:v>
                </c:pt>
                <c:pt idx="7">
                  <c:v>18111</c:v>
                </c:pt>
                <c:pt idx="8">
                  <c:v>18142</c:v>
                </c:pt>
                <c:pt idx="9">
                  <c:v>18172</c:v>
                </c:pt>
                <c:pt idx="10">
                  <c:v>18203</c:v>
                </c:pt>
                <c:pt idx="11">
                  <c:v>18233</c:v>
                </c:pt>
                <c:pt idx="12">
                  <c:v>18264</c:v>
                </c:pt>
                <c:pt idx="13">
                  <c:v>18295</c:v>
                </c:pt>
                <c:pt idx="14">
                  <c:v>18323</c:v>
                </c:pt>
                <c:pt idx="15">
                  <c:v>18354</c:v>
                </c:pt>
                <c:pt idx="16">
                  <c:v>18384</c:v>
                </c:pt>
                <c:pt idx="17">
                  <c:v>18415</c:v>
                </c:pt>
                <c:pt idx="18">
                  <c:v>18445</c:v>
                </c:pt>
                <c:pt idx="19">
                  <c:v>18476</c:v>
                </c:pt>
                <c:pt idx="20">
                  <c:v>18507</c:v>
                </c:pt>
                <c:pt idx="21">
                  <c:v>18537</c:v>
                </c:pt>
                <c:pt idx="22">
                  <c:v>18568</c:v>
                </c:pt>
                <c:pt idx="23">
                  <c:v>18598</c:v>
                </c:pt>
                <c:pt idx="24">
                  <c:v>18629</c:v>
                </c:pt>
                <c:pt idx="25">
                  <c:v>18660</c:v>
                </c:pt>
                <c:pt idx="26">
                  <c:v>18688</c:v>
                </c:pt>
                <c:pt idx="27">
                  <c:v>18719</c:v>
                </c:pt>
                <c:pt idx="28">
                  <c:v>18749</c:v>
                </c:pt>
                <c:pt idx="29">
                  <c:v>18780</c:v>
                </c:pt>
                <c:pt idx="30">
                  <c:v>18810</c:v>
                </c:pt>
                <c:pt idx="31">
                  <c:v>18841</c:v>
                </c:pt>
                <c:pt idx="32">
                  <c:v>18872</c:v>
                </c:pt>
                <c:pt idx="33">
                  <c:v>18902</c:v>
                </c:pt>
                <c:pt idx="34">
                  <c:v>18933</c:v>
                </c:pt>
                <c:pt idx="35">
                  <c:v>18963</c:v>
                </c:pt>
                <c:pt idx="36">
                  <c:v>18994</c:v>
                </c:pt>
                <c:pt idx="37">
                  <c:v>19025</c:v>
                </c:pt>
                <c:pt idx="38">
                  <c:v>19054</c:v>
                </c:pt>
                <c:pt idx="39">
                  <c:v>19085</c:v>
                </c:pt>
                <c:pt idx="40">
                  <c:v>19115</c:v>
                </c:pt>
                <c:pt idx="41">
                  <c:v>19146</c:v>
                </c:pt>
                <c:pt idx="42">
                  <c:v>19176</c:v>
                </c:pt>
                <c:pt idx="43">
                  <c:v>19207</c:v>
                </c:pt>
                <c:pt idx="44">
                  <c:v>19238</c:v>
                </c:pt>
                <c:pt idx="45">
                  <c:v>19268</c:v>
                </c:pt>
                <c:pt idx="46">
                  <c:v>19299</c:v>
                </c:pt>
                <c:pt idx="47">
                  <c:v>19329</c:v>
                </c:pt>
                <c:pt idx="48">
                  <c:v>19360</c:v>
                </c:pt>
                <c:pt idx="49">
                  <c:v>19391</c:v>
                </c:pt>
                <c:pt idx="50">
                  <c:v>19419</c:v>
                </c:pt>
                <c:pt idx="51">
                  <c:v>19450</c:v>
                </c:pt>
                <c:pt idx="52">
                  <c:v>19480</c:v>
                </c:pt>
                <c:pt idx="53">
                  <c:v>19511</c:v>
                </c:pt>
                <c:pt idx="54">
                  <c:v>19541</c:v>
                </c:pt>
                <c:pt idx="55">
                  <c:v>19572</c:v>
                </c:pt>
                <c:pt idx="56">
                  <c:v>19603</c:v>
                </c:pt>
                <c:pt idx="57">
                  <c:v>19633</c:v>
                </c:pt>
                <c:pt idx="58">
                  <c:v>19664</c:v>
                </c:pt>
                <c:pt idx="59">
                  <c:v>19694</c:v>
                </c:pt>
                <c:pt idx="60">
                  <c:v>19725</c:v>
                </c:pt>
                <c:pt idx="61">
                  <c:v>19756</c:v>
                </c:pt>
                <c:pt idx="62">
                  <c:v>19784</c:v>
                </c:pt>
                <c:pt idx="63">
                  <c:v>19815</c:v>
                </c:pt>
                <c:pt idx="64">
                  <c:v>19845</c:v>
                </c:pt>
                <c:pt idx="65">
                  <c:v>19876</c:v>
                </c:pt>
                <c:pt idx="66">
                  <c:v>19906</c:v>
                </c:pt>
                <c:pt idx="67">
                  <c:v>19937</c:v>
                </c:pt>
                <c:pt idx="68">
                  <c:v>19968</c:v>
                </c:pt>
                <c:pt idx="69">
                  <c:v>19998</c:v>
                </c:pt>
                <c:pt idx="70">
                  <c:v>20029</c:v>
                </c:pt>
                <c:pt idx="71">
                  <c:v>20059</c:v>
                </c:pt>
                <c:pt idx="72">
                  <c:v>20090</c:v>
                </c:pt>
                <c:pt idx="73">
                  <c:v>20121</c:v>
                </c:pt>
                <c:pt idx="74">
                  <c:v>20149</c:v>
                </c:pt>
                <c:pt idx="75">
                  <c:v>20180</c:v>
                </c:pt>
                <c:pt idx="76">
                  <c:v>20210</c:v>
                </c:pt>
                <c:pt idx="77">
                  <c:v>20241</c:v>
                </c:pt>
                <c:pt idx="78">
                  <c:v>20271</c:v>
                </c:pt>
                <c:pt idx="79">
                  <c:v>20302</c:v>
                </c:pt>
                <c:pt idx="80">
                  <c:v>20333</c:v>
                </c:pt>
                <c:pt idx="81">
                  <c:v>20363</c:v>
                </c:pt>
                <c:pt idx="82">
                  <c:v>20394</c:v>
                </c:pt>
                <c:pt idx="83">
                  <c:v>20424</c:v>
                </c:pt>
                <c:pt idx="84">
                  <c:v>20455</c:v>
                </c:pt>
                <c:pt idx="85">
                  <c:v>20486</c:v>
                </c:pt>
                <c:pt idx="86">
                  <c:v>20515</c:v>
                </c:pt>
                <c:pt idx="87">
                  <c:v>20546</c:v>
                </c:pt>
                <c:pt idx="88">
                  <c:v>20576</c:v>
                </c:pt>
                <c:pt idx="89">
                  <c:v>20607</c:v>
                </c:pt>
                <c:pt idx="90">
                  <c:v>20637</c:v>
                </c:pt>
                <c:pt idx="91">
                  <c:v>20668</c:v>
                </c:pt>
                <c:pt idx="92">
                  <c:v>20699</c:v>
                </c:pt>
                <c:pt idx="93">
                  <c:v>20729</c:v>
                </c:pt>
                <c:pt idx="94">
                  <c:v>20760</c:v>
                </c:pt>
                <c:pt idx="95">
                  <c:v>20790</c:v>
                </c:pt>
                <c:pt idx="96">
                  <c:v>20821</c:v>
                </c:pt>
                <c:pt idx="97">
                  <c:v>20852</c:v>
                </c:pt>
                <c:pt idx="98">
                  <c:v>20880</c:v>
                </c:pt>
                <c:pt idx="99">
                  <c:v>20911</c:v>
                </c:pt>
                <c:pt idx="100">
                  <c:v>20941</c:v>
                </c:pt>
                <c:pt idx="101">
                  <c:v>20972</c:v>
                </c:pt>
                <c:pt idx="102">
                  <c:v>21002</c:v>
                </c:pt>
                <c:pt idx="103">
                  <c:v>21033</c:v>
                </c:pt>
                <c:pt idx="104">
                  <c:v>21064</c:v>
                </c:pt>
                <c:pt idx="105">
                  <c:v>21094</c:v>
                </c:pt>
                <c:pt idx="106">
                  <c:v>21125</c:v>
                </c:pt>
                <c:pt idx="107">
                  <c:v>21155</c:v>
                </c:pt>
              </c:numCache>
            </c:numRef>
          </c:cat>
          <c:val>
            <c:numRef>
              <c:f>'Holt Linear (2)'!$F$10:$F$117</c:f>
              <c:numCache>
                <c:formatCode>_(* #,##0.00_);_(* \(#,##0.00\);_(* "-"??_);_(@_)</c:formatCode>
                <c:ptCount val="108"/>
                <c:pt idx="0">
                  <c:v>106.11957733836799</c:v>
                </c:pt>
                <c:pt idx="1">
                  <c:v>110.64681599718737</c:v>
                </c:pt>
                <c:pt idx="2">
                  <c:v>116.86404344994438</c:v>
                </c:pt>
                <c:pt idx="3">
                  <c:v>131.34387428039378</c:v>
                </c:pt>
                <c:pt idx="4">
                  <c:v>128.34416952942894</c:v>
                </c:pt>
                <c:pt idx="5">
                  <c:v>120.14460612462706</c:v>
                </c:pt>
                <c:pt idx="6">
                  <c:v>134.57814825674276</c:v>
                </c:pt>
                <c:pt idx="7">
                  <c:v>148.10925350993008</c:v>
                </c:pt>
                <c:pt idx="8">
                  <c:v>148.16269764983642</c:v>
                </c:pt>
                <c:pt idx="9">
                  <c:v>135.77568627045756</c:v>
                </c:pt>
                <c:pt idx="10">
                  <c:v>118.27144754172143</c:v>
                </c:pt>
                <c:pt idx="11">
                  <c:v>102.88735576110268</c:v>
                </c:pt>
                <c:pt idx="12">
                  <c:v>117.25727332604738</c:v>
                </c:pt>
                <c:pt idx="13">
                  <c:v>114.2642588433429</c:v>
                </c:pt>
                <c:pt idx="14">
                  <c:v>125.62258020572267</c:v>
                </c:pt>
                <c:pt idx="15">
                  <c:v>141.22245015354187</c:v>
                </c:pt>
                <c:pt idx="16">
                  <c:v>135.07552912225049</c:v>
                </c:pt>
                <c:pt idx="17">
                  <c:v>124.7334748843501</c:v>
                </c:pt>
                <c:pt idx="18">
                  <c:v>149.62724025118064</c:v>
                </c:pt>
                <c:pt idx="19">
                  <c:v>171.63095098964604</c:v>
                </c:pt>
                <c:pt idx="20">
                  <c:v>171.66340504544561</c:v>
                </c:pt>
                <c:pt idx="21">
                  <c:v>159.11508904511086</c:v>
                </c:pt>
                <c:pt idx="22">
                  <c:v>133.16487719927039</c:v>
                </c:pt>
                <c:pt idx="23">
                  <c:v>113.50303849552566</c:v>
                </c:pt>
                <c:pt idx="24">
                  <c:v>140.4135427342747</c:v>
                </c:pt>
                <c:pt idx="25">
                  <c:v>145.70662467777328</c:v>
                </c:pt>
                <c:pt idx="26">
                  <c:v>150.90181379514695</c:v>
                </c:pt>
                <c:pt idx="27">
                  <c:v>180.1981784723246</c:v>
                </c:pt>
                <c:pt idx="28">
                  <c:v>164.59437072106044</c:v>
                </c:pt>
                <c:pt idx="29">
                  <c:v>173.86970670514776</c:v>
                </c:pt>
                <c:pt idx="30">
                  <c:v>180.11267435011524</c:v>
                </c:pt>
                <c:pt idx="31">
                  <c:v>202.10323000589455</c:v>
                </c:pt>
                <c:pt idx="32">
                  <c:v>202.08017172423953</c:v>
                </c:pt>
                <c:pt idx="33">
                  <c:v>186.2777452956696</c:v>
                </c:pt>
                <c:pt idx="34">
                  <c:v>163.22837977743387</c:v>
                </c:pt>
                <c:pt idx="35">
                  <c:v>146.49678995303907</c:v>
                </c:pt>
                <c:pt idx="36">
                  <c:v>167.24053167067632</c:v>
                </c:pt>
                <c:pt idx="37">
                  <c:v>172.49521855289578</c:v>
                </c:pt>
                <c:pt idx="38">
                  <c:v>181.85907319845708</c:v>
                </c:pt>
                <c:pt idx="39">
                  <c:v>195.43426264269846</c:v>
                </c:pt>
                <c:pt idx="40">
                  <c:v>182.87501362008322</c:v>
                </c:pt>
                <c:pt idx="41">
                  <c:v>184.83732321537406</c:v>
                </c:pt>
                <c:pt idx="42">
                  <c:v>221.54822032009031</c:v>
                </c:pt>
                <c:pt idx="43">
                  <c:v>234.19753161469728</c:v>
                </c:pt>
                <c:pt idx="44">
                  <c:v>246.73344209317443</c:v>
                </c:pt>
                <c:pt idx="45">
                  <c:v>212.04046528568119</c:v>
                </c:pt>
                <c:pt idx="46">
                  <c:v>192.98968697749939</c:v>
                </c:pt>
                <c:pt idx="47">
                  <c:v>173.08172595444771</c:v>
                </c:pt>
                <c:pt idx="48">
                  <c:v>195.92569863692725</c:v>
                </c:pt>
                <c:pt idx="49">
                  <c:v>198.03888505202644</c:v>
                </c:pt>
                <c:pt idx="50">
                  <c:v>197.97042856337549</c:v>
                </c:pt>
                <c:pt idx="51">
                  <c:v>239.93868519609521</c:v>
                </c:pt>
                <c:pt idx="52">
                  <c:v>238.92003000252063</c:v>
                </c:pt>
                <c:pt idx="53">
                  <c:v>232.47439301083747</c:v>
                </c:pt>
                <c:pt idx="54">
                  <c:v>247.02051069858891</c:v>
                </c:pt>
                <c:pt idx="55">
                  <c:v>269.04540175552791</c:v>
                </c:pt>
                <c:pt idx="56">
                  <c:v>277.37709888892573</c:v>
                </c:pt>
                <c:pt idx="57">
                  <c:v>240.5325809232603</c:v>
                </c:pt>
                <c:pt idx="58">
                  <c:v>213.1176827886797</c:v>
                </c:pt>
                <c:pt idx="59">
                  <c:v>180.76603473368874</c:v>
                </c:pt>
                <c:pt idx="60">
                  <c:v>202.46943241970868</c:v>
                </c:pt>
                <c:pt idx="61">
                  <c:v>205.631897154689</c:v>
                </c:pt>
                <c:pt idx="62">
                  <c:v>188.96736507359529</c:v>
                </c:pt>
                <c:pt idx="63">
                  <c:v>238.1037695237406</c:v>
                </c:pt>
                <c:pt idx="64">
                  <c:v>229.82942638642265</c:v>
                </c:pt>
                <c:pt idx="65">
                  <c:v>237.01289667722637</c:v>
                </c:pt>
                <c:pt idx="66">
                  <c:v>268.46057410638923</c:v>
                </c:pt>
                <c:pt idx="67">
                  <c:v>308.55000099305499</c:v>
                </c:pt>
                <c:pt idx="68">
                  <c:v>298.989726516698</c:v>
                </c:pt>
                <c:pt idx="69">
                  <c:v>263.06372873336846</c:v>
                </c:pt>
                <c:pt idx="70">
                  <c:v>231.44217893698905</c:v>
                </c:pt>
                <c:pt idx="71">
                  <c:v>204.1986403553511</c:v>
                </c:pt>
                <c:pt idx="72">
                  <c:v>231.17177217309992</c:v>
                </c:pt>
                <c:pt idx="73">
                  <c:v>244.79636665606924</c:v>
                </c:pt>
                <c:pt idx="74">
                  <c:v>235.35590077691097</c:v>
                </c:pt>
                <c:pt idx="75">
                  <c:v>270.88366574239478</c:v>
                </c:pt>
                <c:pt idx="76">
                  <c:v>272.98628542158514</c:v>
                </c:pt>
                <c:pt idx="77">
                  <c:v>273.89184944892082</c:v>
                </c:pt>
                <c:pt idx="78">
                  <c:v>321.17079682937202</c:v>
                </c:pt>
                <c:pt idx="79">
                  <c:v>373.03306949740244</c:v>
                </c:pt>
                <c:pt idx="80">
                  <c:v>354.95821124574707</c:v>
                </c:pt>
                <c:pt idx="81">
                  <c:v>317.77134309001462</c:v>
                </c:pt>
                <c:pt idx="82">
                  <c:v>277.63269967245969</c:v>
                </c:pt>
                <c:pt idx="83">
                  <c:v>238.81754561730995</c:v>
                </c:pt>
                <c:pt idx="84">
                  <c:v>281.50555714464508</c:v>
                </c:pt>
                <c:pt idx="85">
                  <c:v>287.83987995647988</c:v>
                </c:pt>
                <c:pt idx="86">
                  <c:v>280.40031176205883</c:v>
                </c:pt>
                <c:pt idx="87">
                  <c:v>322.27212704089516</c:v>
                </c:pt>
                <c:pt idx="88">
                  <c:v>318.05364388192976</c:v>
                </c:pt>
                <c:pt idx="89">
                  <c:v>323.09183512034548</c:v>
                </c:pt>
                <c:pt idx="90">
                  <c:v>382.04375835410036</c:v>
                </c:pt>
                <c:pt idx="91">
                  <c:v>423.29258143509884</c:v>
                </c:pt>
                <c:pt idx="92">
                  <c:v>414.62281417656374</c:v>
                </c:pt>
                <c:pt idx="93">
                  <c:v>361.63613934751822</c:v>
                </c:pt>
                <c:pt idx="94">
                  <c:v>309.9147890707344</c:v>
                </c:pt>
                <c:pt idx="95">
                  <c:v>273.11212091516018</c:v>
                </c:pt>
                <c:pt idx="96">
                  <c:v>309.46650274345456</c:v>
                </c:pt>
                <c:pt idx="97">
                  <c:v>318.90699707516922</c:v>
                </c:pt>
                <c:pt idx="98">
                  <c:v>304.18231746553823</c:v>
                </c:pt>
                <c:pt idx="99">
                  <c:v>361.77868137763136</c:v>
                </c:pt>
                <c:pt idx="100">
                  <c:v>353.41482812872459</c:v>
                </c:pt>
                <c:pt idx="101">
                  <c:v>360.517696179979</c:v>
                </c:pt>
                <c:pt idx="102">
                  <c:v>431.07924857054502</c:v>
                </c:pt>
                <c:pt idx="103">
                  <c:v>476.57316961172893</c:v>
                </c:pt>
                <c:pt idx="104">
                  <c:v>478.44743858849057</c:v>
                </c:pt>
                <c:pt idx="105">
                  <c:v>411.74057259487535</c:v>
                </c:pt>
                <c:pt idx="106">
                  <c:v>351.53736940393247</c:v>
                </c:pt>
                <c:pt idx="107">
                  <c:v>307.38831539840533</c:v>
                </c:pt>
              </c:numCache>
            </c:numRef>
          </c:val>
          <c:smooth val="0"/>
          <c:extLst>
            <c:ext xmlns:c16="http://schemas.microsoft.com/office/drawing/2014/chart" uri="{C3380CC4-5D6E-409C-BE32-E72D297353CC}">
              <c16:uniqueId val="{00000001-72B2-4E8F-9183-F8AFAAEF968B}"/>
            </c:ext>
          </c:extLst>
        </c:ser>
        <c:dLbls>
          <c:showLegendKey val="0"/>
          <c:showVal val="0"/>
          <c:showCatName val="0"/>
          <c:showSerName val="0"/>
          <c:showPercent val="0"/>
          <c:showBubbleSize val="0"/>
        </c:dLbls>
        <c:smooth val="0"/>
        <c:axId val="1486141200"/>
        <c:axId val="1486139952"/>
      </c:lineChart>
      <c:dateAx>
        <c:axId val="1486141200"/>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39952"/>
        <c:crosses val="autoZero"/>
        <c:auto val="1"/>
        <c:lblOffset val="100"/>
        <c:baseTimeUnit val="months"/>
      </c:dateAx>
      <c:valAx>
        <c:axId val="148613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41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Passengers vs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'Holt-Winters (1)'!$B$8</c:f>
              <c:strCache>
                <c:ptCount val="1"/>
                <c:pt idx="0">
                  <c:v>Thousands of Passengers</c:v>
                </c:pt>
              </c:strCache>
            </c:strRef>
          </c:tx>
          <c:spPr>
            <a:ln w="28575" cap="rnd">
              <a:solidFill>
                <a:schemeClr val="accent1"/>
              </a:solidFill>
              <a:round/>
            </a:ln>
            <a:effectLst/>
          </c:spPr>
          <c:marker>
            <c:symbol val="none"/>
          </c:marker>
          <c:cat>
            <c:numRef>
              <c:f>'Holt-Winters (1)'!$A$10:$A$117</c:f>
              <c:numCache>
                <c:formatCode>m/d/yyyy</c:formatCode>
                <c:ptCount val="108"/>
                <c:pt idx="0">
                  <c:v>17899</c:v>
                </c:pt>
                <c:pt idx="1">
                  <c:v>17930</c:v>
                </c:pt>
                <c:pt idx="2">
                  <c:v>17958</c:v>
                </c:pt>
                <c:pt idx="3">
                  <c:v>17989</c:v>
                </c:pt>
                <c:pt idx="4">
                  <c:v>18019</c:v>
                </c:pt>
                <c:pt idx="5">
                  <c:v>18050</c:v>
                </c:pt>
                <c:pt idx="6">
                  <c:v>18080</c:v>
                </c:pt>
                <c:pt idx="7">
                  <c:v>18111</c:v>
                </c:pt>
                <c:pt idx="8">
                  <c:v>18142</c:v>
                </c:pt>
                <c:pt idx="9">
                  <c:v>18172</c:v>
                </c:pt>
                <c:pt idx="10">
                  <c:v>18203</c:v>
                </c:pt>
                <c:pt idx="11">
                  <c:v>18233</c:v>
                </c:pt>
                <c:pt idx="12">
                  <c:v>18264</c:v>
                </c:pt>
                <c:pt idx="13">
                  <c:v>18295</c:v>
                </c:pt>
                <c:pt idx="14">
                  <c:v>18323</c:v>
                </c:pt>
                <c:pt idx="15">
                  <c:v>18354</c:v>
                </c:pt>
                <c:pt idx="16">
                  <c:v>18384</c:v>
                </c:pt>
                <c:pt idx="17">
                  <c:v>18415</c:v>
                </c:pt>
                <c:pt idx="18">
                  <c:v>18445</c:v>
                </c:pt>
                <c:pt idx="19">
                  <c:v>18476</c:v>
                </c:pt>
                <c:pt idx="20">
                  <c:v>18507</c:v>
                </c:pt>
                <c:pt idx="21">
                  <c:v>18537</c:v>
                </c:pt>
                <c:pt idx="22">
                  <c:v>18568</c:v>
                </c:pt>
                <c:pt idx="23">
                  <c:v>18598</c:v>
                </c:pt>
                <c:pt idx="24">
                  <c:v>18629</c:v>
                </c:pt>
                <c:pt idx="25">
                  <c:v>18660</c:v>
                </c:pt>
                <c:pt idx="26">
                  <c:v>18688</c:v>
                </c:pt>
                <c:pt idx="27">
                  <c:v>18719</c:v>
                </c:pt>
                <c:pt idx="28">
                  <c:v>18749</c:v>
                </c:pt>
                <c:pt idx="29">
                  <c:v>18780</c:v>
                </c:pt>
                <c:pt idx="30">
                  <c:v>18810</c:v>
                </c:pt>
                <c:pt idx="31">
                  <c:v>18841</c:v>
                </c:pt>
                <c:pt idx="32">
                  <c:v>18872</c:v>
                </c:pt>
                <c:pt idx="33">
                  <c:v>18902</c:v>
                </c:pt>
                <c:pt idx="34">
                  <c:v>18933</c:v>
                </c:pt>
                <c:pt idx="35">
                  <c:v>18963</c:v>
                </c:pt>
                <c:pt idx="36">
                  <c:v>18994</c:v>
                </c:pt>
                <c:pt idx="37">
                  <c:v>19025</c:v>
                </c:pt>
                <c:pt idx="38">
                  <c:v>19054</c:v>
                </c:pt>
                <c:pt idx="39">
                  <c:v>19085</c:v>
                </c:pt>
                <c:pt idx="40">
                  <c:v>19115</c:v>
                </c:pt>
                <c:pt idx="41">
                  <c:v>19146</c:v>
                </c:pt>
                <c:pt idx="42">
                  <c:v>19176</c:v>
                </c:pt>
                <c:pt idx="43">
                  <c:v>19207</c:v>
                </c:pt>
                <c:pt idx="44">
                  <c:v>19238</c:v>
                </c:pt>
                <c:pt idx="45">
                  <c:v>19268</c:v>
                </c:pt>
                <c:pt idx="46">
                  <c:v>19299</c:v>
                </c:pt>
                <c:pt idx="47">
                  <c:v>19329</c:v>
                </c:pt>
                <c:pt idx="48">
                  <c:v>19360</c:v>
                </c:pt>
                <c:pt idx="49">
                  <c:v>19391</c:v>
                </c:pt>
                <c:pt idx="50">
                  <c:v>19419</c:v>
                </c:pt>
                <c:pt idx="51">
                  <c:v>19450</c:v>
                </c:pt>
                <c:pt idx="52">
                  <c:v>19480</c:v>
                </c:pt>
                <c:pt idx="53">
                  <c:v>19511</c:v>
                </c:pt>
                <c:pt idx="54">
                  <c:v>19541</c:v>
                </c:pt>
                <c:pt idx="55">
                  <c:v>19572</c:v>
                </c:pt>
                <c:pt idx="56">
                  <c:v>19603</c:v>
                </c:pt>
                <c:pt idx="57">
                  <c:v>19633</c:v>
                </c:pt>
                <c:pt idx="58">
                  <c:v>19664</c:v>
                </c:pt>
                <c:pt idx="59">
                  <c:v>19694</c:v>
                </c:pt>
                <c:pt idx="60">
                  <c:v>19725</c:v>
                </c:pt>
                <c:pt idx="61">
                  <c:v>19756</c:v>
                </c:pt>
                <c:pt idx="62">
                  <c:v>19784</c:v>
                </c:pt>
                <c:pt idx="63">
                  <c:v>19815</c:v>
                </c:pt>
                <c:pt idx="64">
                  <c:v>19845</c:v>
                </c:pt>
                <c:pt idx="65">
                  <c:v>19876</c:v>
                </c:pt>
                <c:pt idx="66">
                  <c:v>19906</c:v>
                </c:pt>
                <c:pt idx="67">
                  <c:v>19937</c:v>
                </c:pt>
                <c:pt idx="68">
                  <c:v>19968</c:v>
                </c:pt>
                <c:pt idx="69">
                  <c:v>19998</c:v>
                </c:pt>
                <c:pt idx="70">
                  <c:v>20029</c:v>
                </c:pt>
                <c:pt idx="71">
                  <c:v>20059</c:v>
                </c:pt>
                <c:pt idx="72">
                  <c:v>20090</c:v>
                </c:pt>
                <c:pt idx="73">
                  <c:v>20121</c:v>
                </c:pt>
                <c:pt idx="74">
                  <c:v>20149</c:v>
                </c:pt>
                <c:pt idx="75">
                  <c:v>20180</c:v>
                </c:pt>
                <c:pt idx="76">
                  <c:v>20210</c:v>
                </c:pt>
                <c:pt idx="77">
                  <c:v>20241</c:v>
                </c:pt>
                <c:pt idx="78">
                  <c:v>20271</c:v>
                </c:pt>
                <c:pt idx="79">
                  <c:v>20302</c:v>
                </c:pt>
                <c:pt idx="80">
                  <c:v>20333</c:v>
                </c:pt>
                <c:pt idx="81">
                  <c:v>20363</c:v>
                </c:pt>
                <c:pt idx="82">
                  <c:v>20394</c:v>
                </c:pt>
                <c:pt idx="83">
                  <c:v>20424</c:v>
                </c:pt>
                <c:pt idx="84">
                  <c:v>20455</c:v>
                </c:pt>
                <c:pt idx="85">
                  <c:v>20486</c:v>
                </c:pt>
                <c:pt idx="86">
                  <c:v>20515</c:v>
                </c:pt>
                <c:pt idx="87">
                  <c:v>20546</c:v>
                </c:pt>
                <c:pt idx="88">
                  <c:v>20576</c:v>
                </c:pt>
                <c:pt idx="89">
                  <c:v>20607</c:v>
                </c:pt>
                <c:pt idx="90">
                  <c:v>20637</c:v>
                </c:pt>
                <c:pt idx="91">
                  <c:v>20668</c:v>
                </c:pt>
                <c:pt idx="92">
                  <c:v>20699</c:v>
                </c:pt>
                <c:pt idx="93">
                  <c:v>20729</c:v>
                </c:pt>
                <c:pt idx="94">
                  <c:v>20760</c:v>
                </c:pt>
                <c:pt idx="95">
                  <c:v>20790</c:v>
                </c:pt>
                <c:pt idx="96">
                  <c:v>20821</c:v>
                </c:pt>
                <c:pt idx="97">
                  <c:v>20852</c:v>
                </c:pt>
                <c:pt idx="98">
                  <c:v>20880</c:v>
                </c:pt>
                <c:pt idx="99">
                  <c:v>20911</c:v>
                </c:pt>
                <c:pt idx="100">
                  <c:v>20941</c:v>
                </c:pt>
                <c:pt idx="101">
                  <c:v>20972</c:v>
                </c:pt>
                <c:pt idx="102">
                  <c:v>21002</c:v>
                </c:pt>
                <c:pt idx="103">
                  <c:v>21033</c:v>
                </c:pt>
                <c:pt idx="104">
                  <c:v>21064</c:v>
                </c:pt>
                <c:pt idx="105">
                  <c:v>21094</c:v>
                </c:pt>
                <c:pt idx="106">
                  <c:v>21125</c:v>
                </c:pt>
                <c:pt idx="107">
                  <c:v>21155</c:v>
                </c:pt>
              </c:numCache>
            </c:numRef>
          </c:cat>
          <c:val>
            <c:numRef>
              <c:f>'Holt-Winters (1)'!$B$10:$B$117</c:f>
              <c:numCache>
                <c:formatCode>General</c:formatCode>
                <c:ptCount val="108"/>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numCache>
            </c:numRef>
          </c:val>
          <c:smooth val="0"/>
          <c:extLst>
            <c:ext xmlns:c16="http://schemas.microsoft.com/office/drawing/2014/chart" uri="{C3380CC4-5D6E-409C-BE32-E72D297353CC}">
              <c16:uniqueId val="{00000000-72FA-41BC-AEE7-591A16CB8706}"/>
            </c:ext>
          </c:extLst>
        </c:ser>
        <c:ser>
          <c:idx val="1"/>
          <c:order val="1"/>
          <c:tx>
            <c:strRef>
              <c:f>'Holt-Winters (1)'!$F$8</c:f>
              <c:strCache>
                <c:ptCount val="1"/>
                <c:pt idx="0">
                  <c:v>Model</c:v>
                </c:pt>
              </c:strCache>
            </c:strRef>
          </c:tx>
          <c:spPr>
            <a:ln w="28575" cap="rnd">
              <a:solidFill>
                <a:schemeClr val="accent2"/>
              </a:solidFill>
              <a:round/>
            </a:ln>
            <a:effectLst/>
          </c:spPr>
          <c:marker>
            <c:symbol val="none"/>
          </c:marker>
          <c:cat>
            <c:numRef>
              <c:f>'Holt-Winters (1)'!$A$10:$A$117</c:f>
              <c:numCache>
                <c:formatCode>m/d/yyyy</c:formatCode>
                <c:ptCount val="108"/>
                <c:pt idx="0">
                  <c:v>17899</c:v>
                </c:pt>
                <c:pt idx="1">
                  <c:v>17930</c:v>
                </c:pt>
                <c:pt idx="2">
                  <c:v>17958</c:v>
                </c:pt>
                <c:pt idx="3">
                  <c:v>17989</c:v>
                </c:pt>
                <c:pt idx="4">
                  <c:v>18019</c:v>
                </c:pt>
                <c:pt idx="5">
                  <c:v>18050</c:v>
                </c:pt>
                <c:pt idx="6">
                  <c:v>18080</c:v>
                </c:pt>
                <c:pt idx="7">
                  <c:v>18111</c:v>
                </c:pt>
                <c:pt idx="8">
                  <c:v>18142</c:v>
                </c:pt>
                <c:pt idx="9">
                  <c:v>18172</c:v>
                </c:pt>
                <c:pt idx="10">
                  <c:v>18203</c:v>
                </c:pt>
                <c:pt idx="11">
                  <c:v>18233</c:v>
                </c:pt>
                <c:pt idx="12">
                  <c:v>18264</c:v>
                </c:pt>
                <c:pt idx="13">
                  <c:v>18295</c:v>
                </c:pt>
                <c:pt idx="14">
                  <c:v>18323</c:v>
                </c:pt>
                <c:pt idx="15">
                  <c:v>18354</c:v>
                </c:pt>
                <c:pt idx="16">
                  <c:v>18384</c:v>
                </c:pt>
                <c:pt idx="17">
                  <c:v>18415</c:v>
                </c:pt>
                <c:pt idx="18">
                  <c:v>18445</c:v>
                </c:pt>
                <c:pt idx="19">
                  <c:v>18476</c:v>
                </c:pt>
                <c:pt idx="20">
                  <c:v>18507</c:v>
                </c:pt>
                <c:pt idx="21">
                  <c:v>18537</c:v>
                </c:pt>
                <c:pt idx="22">
                  <c:v>18568</c:v>
                </c:pt>
                <c:pt idx="23">
                  <c:v>18598</c:v>
                </c:pt>
                <c:pt idx="24">
                  <c:v>18629</c:v>
                </c:pt>
                <c:pt idx="25">
                  <c:v>18660</c:v>
                </c:pt>
                <c:pt idx="26">
                  <c:v>18688</c:v>
                </c:pt>
                <c:pt idx="27">
                  <c:v>18719</c:v>
                </c:pt>
                <c:pt idx="28">
                  <c:v>18749</c:v>
                </c:pt>
                <c:pt idx="29">
                  <c:v>18780</c:v>
                </c:pt>
                <c:pt idx="30">
                  <c:v>18810</c:v>
                </c:pt>
                <c:pt idx="31">
                  <c:v>18841</c:v>
                </c:pt>
                <c:pt idx="32">
                  <c:v>18872</c:v>
                </c:pt>
                <c:pt idx="33">
                  <c:v>18902</c:v>
                </c:pt>
                <c:pt idx="34">
                  <c:v>18933</c:v>
                </c:pt>
                <c:pt idx="35">
                  <c:v>18963</c:v>
                </c:pt>
                <c:pt idx="36">
                  <c:v>18994</c:v>
                </c:pt>
                <c:pt idx="37">
                  <c:v>19025</c:v>
                </c:pt>
                <c:pt idx="38">
                  <c:v>19054</c:v>
                </c:pt>
                <c:pt idx="39">
                  <c:v>19085</c:v>
                </c:pt>
                <c:pt idx="40">
                  <c:v>19115</c:v>
                </c:pt>
                <c:pt idx="41">
                  <c:v>19146</c:v>
                </c:pt>
                <c:pt idx="42">
                  <c:v>19176</c:v>
                </c:pt>
                <c:pt idx="43">
                  <c:v>19207</c:v>
                </c:pt>
                <c:pt idx="44">
                  <c:v>19238</c:v>
                </c:pt>
                <c:pt idx="45">
                  <c:v>19268</c:v>
                </c:pt>
                <c:pt idx="46">
                  <c:v>19299</c:v>
                </c:pt>
                <c:pt idx="47">
                  <c:v>19329</c:v>
                </c:pt>
                <c:pt idx="48">
                  <c:v>19360</c:v>
                </c:pt>
                <c:pt idx="49">
                  <c:v>19391</c:v>
                </c:pt>
                <c:pt idx="50">
                  <c:v>19419</c:v>
                </c:pt>
                <c:pt idx="51">
                  <c:v>19450</c:v>
                </c:pt>
                <c:pt idx="52">
                  <c:v>19480</c:v>
                </c:pt>
                <c:pt idx="53">
                  <c:v>19511</c:v>
                </c:pt>
                <c:pt idx="54">
                  <c:v>19541</c:v>
                </c:pt>
                <c:pt idx="55">
                  <c:v>19572</c:v>
                </c:pt>
                <c:pt idx="56">
                  <c:v>19603</c:v>
                </c:pt>
                <c:pt idx="57">
                  <c:v>19633</c:v>
                </c:pt>
                <c:pt idx="58">
                  <c:v>19664</c:v>
                </c:pt>
                <c:pt idx="59">
                  <c:v>19694</c:v>
                </c:pt>
                <c:pt idx="60">
                  <c:v>19725</c:v>
                </c:pt>
                <c:pt idx="61">
                  <c:v>19756</c:v>
                </c:pt>
                <c:pt idx="62">
                  <c:v>19784</c:v>
                </c:pt>
                <c:pt idx="63">
                  <c:v>19815</c:v>
                </c:pt>
                <c:pt idx="64">
                  <c:v>19845</c:v>
                </c:pt>
                <c:pt idx="65">
                  <c:v>19876</c:v>
                </c:pt>
                <c:pt idx="66">
                  <c:v>19906</c:v>
                </c:pt>
                <c:pt idx="67">
                  <c:v>19937</c:v>
                </c:pt>
                <c:pt idx="68">
                  <c:v>19968</c:v>
                </c:pt>
                <c:pt idx="69">
                  <c:v>19998</c:v>
                </c:pt>
                <c:pt idx="70">
                  <c:v>20029</c:v>
                </c:pt>
                <c:pt idx="71">
                  <c:v>20059</c:v>
                </c:pt>
                <c:pt idx="72">
                  <c:v>20090</c:v>
                </c:pt>
                <c:pt idx="73">
                  <c:v>20121</c:v>
                </c:pt>
                <c:pt idx="74">
                  <c:v>20149</c:v>
                </c:pt>
                <c:pt idx="75">
                  <c:v>20180</c:v>
                </c:pt>
                <c:pt idx="76">
                  <c:v>20210</c:v>
                </c:pt>
                <c:pt idx="77">
                  <c:v>20241</c:v>
                </c:pt>
                <c:pt idx="78">
                  <c:v>20271</c:v>
                </c:pt>
                <c:pt idx="79">
                  <c:v>20302</c:v>
                </c:pt>
                <c:pt idx="80">
                  <c:v>20333</c:v>
                </c:pt>
                <c:pt idx="81">
                  <c:v>20363</c:v>
                </c:pt>
                <c:pt idx="82">
                  <c:v>20394</c:v>
                </c:pt>
                <c:pt idx="83">
                  <c:v>20424</c:v>
                </c:pt>
                <c:pt idx="84">
                  <c:v>20455</c:v>
                </c:pt>
                <c:pt idx="85">
                  <c:v>20486</c:v>
                </c:pt>
                <c:pt idx="86">
                  <c:v>20515</c:v>
                </c:pt>
                <c:pt idx="87">
                  <c:v>20546</c:v>
                </c:pt>
                <c:pt idx="88">
                  <c:v>20576</c:v>
                </c:pt>
                <c:pt idx="89">
                  <c:v>20607</c:v>
                </c:pt>
                <c:pt idx="90">
                  <c:v>20637</c:v>
                </c:pt>
                <c:pt idx="91">
                  <c:v>20668</c:v>
                </c:pt>
                <c:pt idx="92">
                  <c:v>20699</c:v>
                </c:pt>
                <c:pt idx="93">
                  <c:v>20729</c:v>
                </c:pt>
                <c:pt idx="94">
                  <c:v>20760</c:v>
                </c:pt>
                <c:pt idx="95">
                  <c:v>20790</c:v>
                </c:pt>
                <c:pt idx="96">
                  <c:v>20821</c:v>
                </c:pt>
                <c:pt idx="97">
                  <c:v>20852</c:v>
                </c:pt>
                <c:pt idx="98">
                  <c:v>20880</c:v>
                </c:pt>
                <c:pt idx="99">
                  <c:v>20911</c:v>
                </c:pt>
                <c:pt idx="100">
                  <c:v>20941</c:v>
                </c:pt>
                <c:pt idx="101">
                  <c:v>20972</c:v>
                </c:pt>
                <c:pt idx="102">
                  <c:v>21002</c:v>
                </c:pt>
                <c:pt idx="103">
                  <c:v>21033</c:v>
                </c:pt>
                <c:pt idx="104">
                  <c:v>21064</c:v>
                </c:pt>
                <c:pt idx="105">
                  <c:v>21094</c:v>
                </c:pt>
                <c:pt idx="106">
                  <c:v>21125</c:v>
                </c:pt>
                <c:pt idx="107">
                  <c:v>21155</c:v>
                </c:pt>
              </c:numCache>
            </c:numRef>
          </c:cat>
          <c:val>
            <c:numRef>
              <c:f>'Holt-Winters (1)'!$F$10:$F$117</c:f>
              <c:numCache>
                <c:formatCode>_(* #,##0.00_);_(* \(#,##0.00\);_(* "-"??_);_(@_)</c:formatCode>
                <c:ptCount val="108"/>
                <c:pt idx="0">
                  <c:v>112.006473</c:v>
                </c:pt>
                <c:pt idx="1">
                  <c:v>120.06258371730635</c:v>
                </c:pt>
                <c:pt idx="2">
                  <c:v>134.51672579365388</c:v>
                </c:pt>
                <c:pt idx="3">
                  <c:v>131.1499294147205</c:v>
                </c:pt>
                <c:pt idx="4">
                  <c:v>124.35836063981206</c:v>
                </c:pt>
                <c:pt idx="5">
                  <c:v>140.11454119839743</c:v>
                </c:pt>
                <c:pt idx="6">
                  <c:v>153.52082250530458</c:v>
                </c:pt>
                <c:pt idx="7">
                  <c:v>152.18195035976987</c:v>
                </c:pt>
                <c:pt idx="8">
                  <c:v>139.44036035852656</c:v>
                </c:pt>
                <c:pt idx="9">
                  <c:v>122.17879986039974</c:v>
                </c:pt>
                <c:pt idx="10">
                  <c:v>109.29680243182014</c:v>
                </c:pt>
                <c:pt idx="11">
                  <c:v>126.88625483282823</c:v>
                </c:pt>
                <c:pt idx="12">
                  <c:v>130.35217716736059</c:v>
                </c:pt>
                <c:pt idx="13">
                  <c:v>133.02149925031262</c:v>
                </c:pt>
                <c:pt idx="14">
                  <c:v>145.89249926327676</c:v>
                </c:pt>
                <c:pt idx="15">
                  <c:v>142.20514802575212</c:v>
                </c:pt>
                <c:pt idx="16">
                  <c:v>133.24105446494573</c:v>
                </c:pt>
                <c:pt idx="17">
                  <c:v>146.45747815374312</c:v>
                </c:pt>
                <c:pt idx="18">
                  <c:v>161.47833754564655</c:v>
                </c:pt>
                <c:pt idx="19">
                  <c:v>164.66215497213747</c:v>
                </c:pt>
                <c:pt idx="20">
                  <c:v>154.86217503435418</c:v>
                </c:pt>
                <c:pt idx="21">
                  <c:v>139.44526640664333</c:v>
                </c:pt>
                <c:pt idx="22">
                  <c:v>124.15743482101968</c:v>
                </c:pt>
                <c:pt idx="23">
                  <c:v>137.83884776900689</c:v>
                </c:pt>
                <c:pt idx="24">
                  <c:v>139.22809083791296</c:v>
                </c:pt>
                <c:pt idx="25">
                  <c:v>153.43441319723479</c:v>
                </c:pt>
                <c:pt idx="26">
                  <c:v>168.79984307224169</c:v>
                </c:pt>
                <c:pt idx="27">
                  <c:v>166.91138981829067</c:v>
                </c:pt>
                <c:pt idx="28">
                  <c:v>157.99650337114895</c:v>
                </c:pt>
                <c:pt idx="29">
                  <c:v>184.86888731441411</c:v>
                </c:pt>
                <c:pt idx="30">
                  <c:v>202.01166159880114</c:v>
                </c:pt>
                <c:pt idx="31">
                  <c:v>199.91908321256017</c:v>
                </c:pt>
                <c:pt idx="32">
                  <c:v>186.9023287131447</c:v>
                </c:pt>
                <c:pt idx="33">
                  <c:v>162.79027037200046</c:v>
                </c:pt>
                <c:pt idx="34">
                  <c:v>146.13789722576871</c:v>
                </c:pt>
                <c:pt idx="35">
                  <c:v>171.56170257444316</c:v>
                </c:pt>
                <c:pt idx="36">
                  <c:v>173.72123880344424</c:v>
                </c:pt>
                <c:pt idx="37">
                  <c:v>178.89997669361509</c:v>
                </c:pt>
                <c:pt idx="38">
                  <c:v>204.86989689933608</c:v>
                </c:pt>
                <c:pt idx="39">
                  <c:v>187.87531192591717</c:v>
                </c:pt>
                <c:pt idx="40">
                  <c:v>191.6426022295596</c:v>
                </c:pt>
                <c:pt idx="41">
                  <c:v>197.19806836533138</c:v>
                </c:pt>
                <c:pt idx="42">
                  <c:v>224.16630249368848</c:v>
                </c:pt>
                <c:pt idx="43">
                  <c:v>225.85870462716409</c:v>
                </c:pt>
                <c:pt idx="44">
                  <c:v>215.63147483634103</c:v>
                </c:pt>
                <c:pt idx="45">
                  <c:v>192.16753465133388</c:v>
                </c:pt>
                <c:pt idx="46">
                  <c:v>175.90948383143427</c:v>
                </c:pt>
                <c:pt idx="47">
                  <c:v>196.32356784155849</c:v>
                </c:pt>
                <c:pt idx="48">
                  <c:v>201.42323333044297</c:v>
                </c:pt>
                <c:pt idx="49">
                  <c:v>208.78835517565645</c:v>
                </c:pt>
                <c:pt idx="50">
                  <c:v>221.55816836902835</c:v>
                </c:pt>
                <c:pt idx="51">
                  <c:v>214.900734860032</c:v>
                </c:pt>
                <c:pt idx="52">
                  <c:v>224.10410796801409</c:v>
                </c:pt>
                <c:pt idx="53">
                  <c:v>255.11768871745721</c:v>
                </c:pt>
                <c:pt idx="54">
                  <c:v>262.61865848638212</c:v>
                </c:pt>
                <c:pt idx="55">
                  <c:v>270.91947459875848</c:v>
                </c:pt>
                <c:pt idx="56">
                  <c:v>239.85227922874418</c:v>
                </c:pt>
                <c:pt idx="57">
                  <c:v>221.4300434914918</c:v>
                </c:pt>
                <c:pt idx="58">
                  <c:v>200.795841249875</c:v>
                </c:pt>
                <c:pt idx="59">
                  <c:v>218.16626461541466</c:v>
                </c:pt>
                <c:pt idx="60">
                  <c:v>217.22319079613243</c:v>
                </c:pt>
                <c:pt idx="61">
                  <c:v>217.11421088126798</c:v>
                </c:pt>
                <c:pt idx="62">
                  <c:v>246.1980646947205</c:v>
                </c:pt>
                <c:pt idx="63">
                  <c:v>237.35423379768787</c:v>
                </c:pt>
                <c:pt idx="64">
                  <c:v>227.5322012412685</c:v>
                </c:pt>
                <c:pt idx="65">
                  <c:v>246.19015160195218</c:v>
                </c:pt>
                <c:pt idx="66">
                  <c:v>271.307513083336</c:v>
                </c:pt>
                <c:pt idx="67">
                  <c:v>286.72895158086027</c:v>
                </c:pt>
                <c:pt idx="68">
                  <c:v>254.01546720431588</c:v>
                </c:pt>
                <c:pt idx="69">
                  <c:v>231.87871445318493</c:v>
                </c:pt>
                <c:pt idx="70">
                  <c:v>205.36915843544378</c:v>
                </c:pt>
                <c:pt idx="71">
                  <c:v>230.07765353226893</c:v>
                </c:pt>
                <c:pt idx="72">
                  <c:v>236.12160450894561</c:v>
                </c:pt>
                <c:pt idx="73">
                  <c:v>228.89155652990519</c:v>
                </c:pt>
                <c:pt idx="74">
                  <c:v>279.7277196347905</c:v>
                </c:pt>
                <c:pt idx="75">
                  <c:v>271.13286959948061</c:v>
                </c:pt>
                <c:pt idx="76">
                  <c:v>275.97734441773889</c:v>
                </c:pt>
                <c:pt idx="77">
                  <c:v>300.0157268887769</c:v>
                </c:pt>
                <c:pt idx="78">
                  <c:v>334.07888730994728</c:v>
                </c:pt>
                <c:pt idx="79">
                  <c:v>331.00613745570661</c:v>
                </c:pt>
                <c:pt idx="80">
                  <c:v>299.76532881522769</c:v>
                </c:pt>
                <c:pt idx="81">
                  <c:v>273.55309099026886</c:v>
                </c:pt>
                <c:pt idx="82">
                  <c:v>248.25886239538647</c:v>
                </c:pt>
                <c:pt idx="83">
                  <c:v>271.70721740022623</c:v>
                </c:pt>
                <c:pt idx="84">
                  <c:v>284.81107247095133</c:v>
                </c:pt>
                <c:pt idx="85">
                  <c:v>274.57812874253636</c:v>
                </c:pt>
                <c:pt idx="86">
                  <c:v>312.3749647721969</c:v>
                </c:pt>
                <c:pt idx="87">
                  <c:v>316.06865130436279</c:v>
                </c:pt>
                <c:pt idx="88">
                  <c:v>317.79763684704182</c:v>
                </c:pt>
                <c:pt idx="89">
                  <c:v>359.09295039004502</c:v>
                </c:pt>
                <c:pt idx="90">
                  <c:v>404.33008102102082</c:v>
                </c:pt>
                <c:pt idx="91">
                  <c:v>385.49453242718482</c:v>
                </c:pt>
                <c:pt idx="92">
                  <c:v>352.316761352605</c:v>
                </c:pt>
                <c:pt idx="93">
                  <c:v>314.87723709608679</c:v>
                </c:pt>
                <c:pt idx="94">
                  <c:v>278.47412725312944</c:v>
                </c:pt>
                <c:pt idx="95">
                  <c:v>316.02382309326396</c:v>
                </c:pt>
                <c:pt idx="96">
                  <c:v>319.71489594541907</c:v>
                </c:pt>
                <c:pt idx="97">
                  <c:v>310.92625798129075</c:v>
                </c:pt>
                <c:pt idx="98">
                  <c:v>347.27936923803725</c:v>
                </c:pt>
                <c:pt idx="99">
                  <c:v>346.23403450127921</c:v>
                </c:pt>
                <c:pt idx="100">
                  <c:v>351.62590924682667</c:v>
                </c:pt>
                <c:pt idx="101">
                  <c:v>404.73548454126762</c:v>
                </c:pt>
                <c:pt idx="102">
                  <c:v>445.88948814213785</c:v>
                </c:pt>
                <c:pt idx="103">
                  <c:v>437.79050322687931</c:v>
                </c:pt>
                <c:pt idx="104">
                  <c:v>394.43859370991584</c:v>
                </c:pt>
                <c:pt idx="105">
                  <c:v>350.05974193960549</c:v>
                </c:pt>
                <c:pt idx="106">
                  <c:v>316.16608855148456</c:v>
                </c:pt>
                <c:pt idx="107">
                  <c:v>350.87981066866371</c:v>
                </c:pt>
              </c:numCache>
            </c:numRef>
          </c:val>
          <c:smooth val="0"/>
          <c:extLst>
            <c:ext xmlns:c16="http://schemas.microsoft.com/office/drawing/2014/chart" uri="{C3380CC4-5D6E-409C-BE32-E72D297353CC}">
              <c16:uniqueId val="{00000001-72FA-41BC-AEE7-591A16CB8706}"/>
            </c:ext>
          </c:extLst>
        </c:ser>
        <c:dLbls>
          <c:showLegendKey val="0"/>
          <c:showVal val="0"/>
          <c:showCatName val="0"/>
          <c:showSerName val="0"/>
          <c:showPercent val="0"/>
          <c:showBubbleSize val="0"/>
        </c:dLbls>
        <c:smooth val="0"/>
        <c:axId val="1486141200"/>
        <c:axId val="1486139952"/>
      </c:lineChart>
      <c:dateAx>
        <c:axId val="1486141200"/>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39952"/>
        <c:crosses val="autoZero"/>
        <c:auto val="1"/>
        <c:lblOffset val="100"/>
        <c:baseTimeUnit val="months"/>
      </c:dateAx>
      <c:valAx>
        <c:axId val="148613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41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Passengers vs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'Holt-Winters (2)'!$B$8</c:f>
              <c:strCache>
                <c:ptCount val="1"/>
                <c:pt idx="0">
                  <c:v>Thousands of Passengers</c:v>
                </c:pt>
              </c:strCache>
            </c:strRef>
          </c:tx>
          <c:spPr>
            <a:ln w="28575" cap="rnd">
              <a:solidFill>
                <a:schemeClr val="accent1"/>
              </a:solidFill>
              <a:round/>
            </a:ln>
            <a:effectLst/>
          </c:spPr>
          <c:marker>
            <c:symbol val="none"/>
          </c:marker>
          <c:cat>
            <c:numRef>
              <c:f>'Holt-Winters (2)'!$A$10:$A$117</c:f>
              <c:numCache>
                <c:formatCode>m/d/yyyy</c:formatCode>
                <c:ptCount val="108"/>
                <c:pt idx="0">
                  <c:v>17899</c:v>
                </c:pt>
                <c:pt idx="1">
                  <c:v>17930</c:v>
                </c:pt>
                <c:pt idx="2">
                  <c:v>17958</c:v>
                </c:pt>
                <c:pt idx="3">
                  <c:v>17989</c:v>
                </c:pt>
                <c:pt idx="4">
                  <c:v>18019</c:v>
                </c:pt>
                <c:pt idx="5">
                  <c:v>18050</c:v>
                </c:pt>
                <c:pt idx="6">
                  <c:v>18080</c:v>
                </c:pt>
                <c:pt idx="7">
                  <c:v>18111</c:v>
                </c:pt>
                <c:pt idx="8">
                  <c:v>18142</c:v>
                </c:pt>
                <c:pt idx="9">
                  <c:v>18172</c:v>
                </c:pt>
                <c:pt idx="10">
                  <c:v>18203</c:v>
                </c:pt>
                <c:pt idx="11">
                  <c:v>18233</c:v>
                </c:pt>
                <c:pt idx="12">
                  <c:v>18264</c:v>
                </c:pt>
                <c:pt idx="13">
                  <c:v>18295</c:v>
                </c:pt>
                <c:pt idx="14">
                  <c:v>18323</c:v>
                </c:pt>
                <c:pt idx="15">
                  <c:v>18354</c:v>
                </c:pt>
                <c:pt idx="16">
                  <c:v>18384</c:v>
                </c:pt>
                <c:pt idx="17">
                  <c:v>18415</c:v>
                </c:pt>
                <c:pt idx="18">
                  <c:v>18445</c:v>
                </c:pt>
                <c:pt idx="19">
                  <c:v>18476</c:v>
                </c:pt>
                <c:pt idx="20">
                  <c:v>18507</c:v>
                </c:pt>
                <c:pt idx="21">
                  <c:v>18537</c:v>
                </c:pt>
                <c:pt idx="22">
                  <c:v>18568</c:v>
                </c:pt>
                <c:pt idx="23">
                  <c:v>18598</c:v>
                </c:pt>
                <c:pt idx="24">
                  <c:v>18629</c:v>
                </c:pt>
                <c:pt idx="25">
                  <c:v>18660</c:v>
                </c:pt>
                <c:pt idx="26">
                  <c:v>18688</c:v>
                </c:pt>
                <c:pt idx="27">
                  <c:v>18719</c:v>
                </c:pt>
                <c:pt idx="28">
                  <c:v>18749</c:v>
                </c:pt>
                <c:pt idx="29">
                  <c:v>18780</c:v>
                </c:pt>
                <c:pt idx="30">
                  <c:v>18810</c:v>
                </c:pt>
                <c:pt idx="31">
                  <c:v>18841</c:v>
                </c:pt>
                <c:pt idx="32">
                  <c:v>18872</c:v>
                </c:pt>
                <c:pt idx="33">
                  <c:v>18902</c:v>
                </c:pt>
                <c:pt idx="34">
                  <c:v>18933</c:v>
                </c:pt>
                <c:pt idx="35">
                  <c:v>18963</c:v>
                </c:pt>
                <c:pt idx="36">
                  <c:v>18994</c:v>
                </c:pt>
                <c:pt idx="37">
                  <c:v>19025</c:v>
                </c:pt>
                <c:pt idx="38">
                  <c:v>19054</c:v>
                </c:pt>
                <c:pt idx="39">
                  <c:v>19085</c:v>
                </c:pt>
                <c:pt idx="40">
                  <c:v>19115</c:v>
                </c:pt>
                <c:pt idx="41">
                  <c:v>19146</c:v>
                </c:pt>
                <c:pt idx="42">
                  <c:v>19176</c:v>
                </c:pt>
                <c:pt idx="43">
                  <c:v>19207</c:v>
                </c:pt>
                <c:pt idx="44">
                  <c:v>19238</c:v>
                </c:pt>
                <c:pt idx="45">
                  <c:v>19268</c:v>
                </c:pt>
                <c:pt idx="46">
                  <c:v>19299</c:v>
                </c:pt>
                <c:pt idx="47">
                  <c:v>19329</c:v>
                </c:pt>
                <c:pt idx="48">
                  <c:v>19360</c:v>
                </c:pt>
                <c:pt idx="49">
                  <c:v>19391</c:v>
                </c:pt>
                <c:pt idx="50">
                  <c:v>19419</c:v>
                </c:pt>
                <c:pt idx="51">
                  <c:v>19450</c:v>
                </c:pt>
                <c:pt idx="52">
                  <c:v>19480</c:v>
                </c:pt>
                <c:pt idx="53">
                  <c:v>19511</c:v>
                </c:pt>
                <c:pt idx="54">
                  <c:v>19541</c:v>
                </c:pt>
                <c:pt idx="55">
                  <c:v>19572</c:v>
                </c:pt>
                <c:pt idx="56">
                  <c:v>19603</c:v>
                </c:pt>
                <c:pt idx="57">
                  <c:v>19633</c:v>
                </c:pt>
                <c:pt idx="58">
                  <c:v>19664</c:v>
                </c:pt>
                <c:pt idx="59">
                  <c:v>19694</c:v>
                </c:pt>
                <c:pt idx="60">
                  <c:v>19725</c:v>
                </c:pt>
                <c:pt idx="61">
                  <c:v>19756</c:v>
                </c:pt>
                <c:pt idx="62">
                  <c:v>19784</c:v>
                </c:pt>
                <c:pt idx="63">
                  <c:v>19815</c:v>
                </c:pt>
                <c:pt idx="64">
                  <c:v>19845</c:v>
                </c:pt>
                <c:pt idx="65">
                  <c:v>19876</c:v>
                </c:pt>
                <c:pt idx="66">
                  <c:v>19906</c:v>
                </c:pt>
                <c:pt idx="67">
                  <c:v>19937</c:v>
                </c:pt>
                <c:pt idx="68">
                  <c:v>19968</c:v>
                </c:pt>
                <c:pt idx="69">
                  <c:v>19998</c:v>
                </c:pt>
                <c:pt idx="70">
                  <c:v>20029</c:v>
                </c:pt>
                <c:pt idx="71">
                  <c:v>20059</c:v>
                </c:pt>
                <c:pt idx="72">
                  <c:v>20090</c:v>
                </c:pt>
                <c:pt idx="73">
                  <c:v>20121</c:v>
                </c:pt>
                <c:pt idx="74">
                  <c:v>20149</c:v>
                </c:pt>
                <c:pt idx="75">
                  <c:v>20180</c:v>
                </c:pt>
                <c:pt idx="76">
                  <c:v>20210</c:v>
                </c:pt>
                <c:pt idx="77">
                  <c:v>20241</c:v>
                </c:pt>
                <c:pt idx="78">
                  <c:v>20271</c:v>
                </c:pt>
                <c:pt idx="79">
                  <c:v>20302</c:v>
                </c:pt>
                <c:pt idx="80">
                  <c:v>20333</c:v>
                </c:pt>
                <c:pt idx="81">
                  <c:v>20363</c:v>
                </c:pt>
                <c:pt idx="82">
                  <c:v>20394</c:v>
                </c:pt>
                <c:pt idx="83">
                  <c:v>20424</c:v>
                </c:pt>
                <c:pt idx="84">
                  <c:v>20455</c:v>
                </c:pt>
                <c:pt idx="85">
                  <c:v>20486</c:v>
                </c:pt>
                <c:pt idx="86">
                  <c:v>20515</c:v>
                </c:pt>
                <c:pt idx="87">
                  <c:v>20546</c:v>
                </c:pt>
                <c:pt idx="88">
                  <c:v>20576</c:v>
                </c:pt>
                <c:pt idx="89">
                  <c:v>20607</c:v>
                </c:pt>
                <c:pt idx="90">
                  <c:v>20637</c:v>
                </c:pt>
                <c:pt idx="91">
                  <c:v>20668</c:v>
                </c:pt>
                <c:pt idx="92">
                  <c:v>20699</c:v>
                </c:pt>
                <c:pt idx="93">
                  <c:v>20729</c:v>
                </c:pt>
                <c:pt idx="94">
                  <c:v>20760</c:v>
                </c:pt>
                <c:pt idx="95">
                  <c:v>20790</c:v>
                </c:pt>
                <c:pt idx="96">
                  <c:v>20821</c:v>
                </c:pt>
                <c:pt idx="97">
                  <c:v>20852</c:v>
                </c:pt>
                <c:pt idx="98">
                  <c:v>20880</c:v>
                </c:pt>
                <c:pt idx="99">
                  <c:v>20911</c:v>
                </c:pt>
                <c:pt idx="100">
                  <c:v>20941</c:v>
                </c:pt>
                <c:pt idx="101">
                  <c:v>20972</c:v>
                </c:pt>
                <c:pt idx="102">
                  <c:v>21002</c:v>
                </c:pt>
                <c:pt idx="103">
                  <c:v>21033</c:v>
                </c:pt>
                <c:pt idx="104">
                  <c:v>21064</c:v>
                </c:pt>
                <c:pt idx="105">
                  <c:v>21094</c:v>
                </c:pt>
                <c:pt idx="106">
                  <c:v>21125</c:v>
                </c:pt>
                <c:pt idx="107">
                  <c:v>21155</c:v>
                </c:pt>
              </c:numCache>
            </c:numRef>
          </c:cat>
          <c:val>
            <c:numRef>
              <c:f>'Holt-Winters (2)'!$B$10:$B$117</c:f>
              <c:numCache>
                <c:formatCode>General</c:formatCode>
                <c:ptCount val="108"/>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numCache>
            </c:numRef>
          </c:val>
          <c:smooth val="0"/>
          <c:extLst>
            <c:ext xmlns:c16="http://schemas.microsoft.com/office/drawing/2014/chart" uri="{C3380CC4-5D6E-409C-BE32-E72D297353CC}">
              <c16:uniqueId val="{00000000-2181-414F-A952-BEB776CF5E09}"/>
            </c:ext>
          </c:extLst>
        </c:ser>
        <c:ser>
          <c:idx val="1"/>
          <c:order val="1"/>
          <c:tx>
            <c:strRef>
              <c:f>'Holt-Winters (2)'!$F$8</c:f>
              <c:strCache>
                <c:ptCount val="1"/>
                <c:pt idx="0">
                  <c:v>Model</c:v>
                </c:pt>
              </c:strCache>
            </c:strRef>
          </c:tx>
          <c:spPr>
            <a:ln w="28575" cap="rnd">
              <a:solidFill>
                <a:schemeClr val="accent2"/>
              </a:solidFill>
              <a:round/>
            </a:ln>
            <a:effectLst/>
          </c:spPr>
          <c:marker>
            <c:symbol val="none"/>
          </c:marker>
          <c:cat>
            <c:numRef>
              <c:f>'Holt-Winters (2)'!$A$10:$A$117</c:f>
              <c:numCache>
                <c:formatCode>m/d/yyyy</c:formatCode>
                <c:ptCount val="108"/>
                <c:pt idx="0">
                  <c:v>17899</c:v>
                </c:pt>
                <c:pt idx="1">
                  <c:v>17930</c:v>
                </c:pt>
                <c:pt idx="2">
                  <c:v>17958</c:v>
                </c:pt>
                <c:pt idx="3">
                  <c:v>17989</c:v>
                </c:pt>
                <c:pt idx="4">
                  <c:v>18019</c:v>
                </c:pt>
                <c:pt idx="5">
                  <c:v>18050</c:v>
                </c:pt>
                <c:pt idx="6">
                  <c:v>18080</c:v>
                </c:pt>
                <c:pt idx="7">
                  <c:v>18111</c:v>
                </c:pt>
                <c:pt idx="8">
                  <c:v>18142</c:v>
                </c:pt>
                <c:pt idx="9">
                  <c:v>18172</c:v>
                </c:pt>
                <c:pt idx="10">
                  <c:v>18203</c:v>
                </c:pt>
                <c:pt idx="11">
                  <c:v>18233</c:v>
                </c:pt>
                <c:pt idx="12">
                  <c:v>18264</c:v>
                </c:pt>
                <c:pt idx="13">
                  <c:v>18295</c:v>
                </c:pt>
                <c:pt idx="14">
                  <c:v>18323</c:v>
                </c:pt>
                <c:pt idx="15">
                  <c:v>18354</c:v>
                </c:pt>
                <c:pt idx="16">
                  <c:v>18384</c:v>
                </c:pt>
                <c:pt idx="17">
                  <c:v>18415</c:v>
                </c:pt>
                <c:pt idx="18">
                  <c:v>18445</c:v>
                </c:pt>
                <c:pt idx="19">
                  <c:v>18476</c:v>
                </c:pt>
                <c:pt idx="20">
                  <c:v>18507</c:v>
                </c:pt>
                <c:pt idx="21">
                  <c:v>18537</c:v>
                </c:pt>
                <c:pt idx="22">
                  <c:v>18568</c:v>
                </c:pt>
                <c:pt idx="23">
                  <c:v>18598</c:v>
                </c:pt>
                <c:pt idx="24">
                  <c:v>18629</c:v>
                </c:pt>
                <c:pt idx="25">
                  <c:v>18660</c:v>
                </c:pt>
                <c:pt idx="26">
                  <c:v>18688</c:v>
                </c:pt>
                <c:pt idx="27">
                  <c:v>18719</c:v>
                </c:pt>
                <c:pt idx="28">
                  <c:v>18749</c:v>
                </c:pt>
                <c:pt idx="29">
                  <c:v>18780</c:v>
                </c:pt>
                <c:pt idx="30">
                  <c:v>18810</c:v>
                </c:pt>
                <c:pt idx="31">
                  <c:v>18841</c:v>
                </c:pt>
                <c:pt idx="32">
                  <c:v>18872</c:v>
                </c:pt>
                <c:pt idx="33">
                  <c:v>18902</c:v>
                </c:pt>
                <c:pt idx="34">
                  <c:v>18933</c:v>
                </c:pt>
                <c:pt idx="35">
                  <c:v>18963</c:v>
                </c:pt>
                <c:pt idx="36">
                  <c:v>18994</c:v>
                </c:pt>
                <c:pt idx="37">
                  <c:v>19025</c:v>
                </c:pt>
                <c:pt idx="38">
                  <c:v>19054</c:v>
                </c:pt>
                <c:pt idx="39">
                  <c:v>19085</c:v>
                </c:pt>
                <c:pt idx="40">
                  <c:v>19115</c:v>
                </c:pt>
                <c:pt idx="41">
                  <c:v>19146</c:v>
                </c:pt>
                <c:pt idx="42">
                  <c:v>19176</c:v>
                </c:pt>
                <c:pt idx="43">
                  <c:v>19207</c:v>
                </c:pt>
                <c:pt idx="44">
                  <c:v>19238</c:v>
                </c:pt>
                <c:pt idx="45">
                  <c:v>19268</c:v>
                </c:pt>
                <c:pt idx="46">
                  <c:v>19299</c:v>
                </c:pt>
                <c:pt idx="47">
                  <c:v>19329</c:v>
                </c:pt>
                <c:pt idx="48">
                  <c:v>19360</c:v>
                </c:pt>
                <c:pt idx="49">
                  <c:v>19391</c:v>
                </c:pt>
                <c:pt idx="50">
                  <c:v>19419</c:v>
                </c:pt>
                <c:pt idx="51">
                  <c:v>19450</c:v>
                </c:pt>
                <c:pt idx="52">
                  <c:v>19480</c:v>
                </c:pt>
                <c:pt idx="53">
                  <c:v>19511</c:v>
                </c:pt>
                <c:pt idx="54">
                  <c:v>19541</c:v>
                </c:pt>
                <c:pt idx="55">
                  <c:v>19572</c:v>
                </c:pt>
                <c:pt idx="56">
                  <c:v>19603</c:v>
                </c:pt>
                <c:pt idx="57">
                  <c:v>19633</c:v>
                </c:pt>
                <c:pt idx="58">
                  <c:v>19664</c:v>
                </c:pt>
                <c:pt idx="59">
                  <c:v>19694</c:v>
                </c:pt>
                <c:pt idx="60">
                  <c:v>19725</c:v>
                </c:pt>
                <c:pt idx="61">
                  <c:v>19756</c:v>
                </c:pt>
                <c:pt idx="62">
                  <c:v>19784</c:v>
                </c:pt>
                <c:pt idx="63">
                  <c:v>19815</c:v>
                </c:pt>
                <c:pt idx="64">
                  <c:v>19845</c:v>
                </c:pt>
                <c:pt idx="65">
                  <c:v>19876</c:v>
                </c:pt>
                <c:pt idx="66">
                  <c:v>19906</c:v>
                </c:pt>
                <c:pt idx="67">
                  <c:v>19937</c:v>
                </c:pt>
                <c:pt idx="68">
                  <c:v>19968</c:v>
                </c:pt>
                <c:pt idx="69">
                  <c:v>19998</c:v>
                </c:pt>
                <c:pt idx="70">
                  <c:v>20029</c:v>
                </c:pt>
                <c:pt idx="71">
                  <c:v>20059</c:v>
                </c:pt>
                <c:pt idx="72">
                  <c:v>20090</c:v>
                </c:pt>
                <c:pt idx="73">
                  <c:v>20121</c:v>
                </c:pt>
                <c:pt idx="74">
                  <c:v>20149</c:v>
                </c:pt>
                <c:pt idx="75">
                  <c:v>20180</c:v>
                </c:pt>
                <c:pt idx="76">
                  <c:v>20210</c:v>
                </c:pt>
                <c:pt idx="77">
                  <c:v>20241</c:v>
                </c:pt>
                <c:pt idx="78">
                  <c:v>20271</c:v>
                </c:pt>
                <c:pt idx="79">
                  <c:v>20302</c:v>
                </c:pt>
                <c:pt idx="80">
                  <c:v>20333</c:v>
                </c:pt>
                <c:pt idx="81">
                  <c:v>20363</c:v>
                </c:pt>
                <c:pt idx="82">
                  <c:v>20394</c:v>
                </c:pt>
                <c:pt idx="83">
                  <c:v>20424</c:v>
                </c:pt>
                <c:pt idx="84">
                  <c:v>20455</c:v>
                </c:pt>
                <c:pt idx="85">
                  <c:v>20486</c:v>
                </c:pt>
                <c:pt idx="86">
                  <c:v>20515</c:v>
                </c:pt>
                <c:pt idx="87">
                  <c:v>20546</c:v>
                </c:pt>
                <c:pt idx="88">
                  <c:v>20576</c:v>
                </c:pt>
                <c:pt idx="89">
                  <c:v>20607</c:v>
                </c:pt>
                <c:pt idx="90">
                  <c:v>20637</c:v>
                </c:pt>
                <c:pt idx="91">
                  <c:v>20668</c:v>
                </c:pt>
                <c:pt idx="92">
                  <c:v>20699</c:v>
                </c:pt>
                <c:pt idx="93">
                  <c:v>20729</c:v>
                </c:pt>
                <c:pt idx="94">
                  <c:v>20760</c:v>
                </c:pt>
                <c:pt idx="95">
                  <c:v>20790</c:v>
                </c:pt>
                <c:pt idx="96">
                  <c:v>20821</c:v>
                </c:pt>
                <c:pt idx="97">
                  <c:v>20852</c:v>
                </c:pt>
                <c:pt idx="98">
                  <c:v>20880</c:v>
                </c:pt>
                <c:pt idx="99">
                  <c:v>20911</c:v>
                </c:pt>
                <c:pt idx="100">
                  <c:v>20941</c:v>
                </c:pt>
                <c:pt idx="101">
                  <c:v>20972</c:v>
                </c:pt>
                <c:pt idx="102">
                  <c:v>21002</c:v>
                </c:pt>
                <c:pt idx="103">
                  <c:v>21033</c:v>
                </c:pt>
                <c:pt idx="104">
                  <c:v>21064</c:v>
                </c:pt>
                <c:pt idx="105">
                  <c:v>21094</c:v>
                </c:pt>
                <c:pt idx="106">
                  <c:v>21125</c:v>
                </c:pt>
                <c:pt idx="107">
                  <c:v>21155</c:v>
                </c:pt>
              </c:numCache>
            </c:numRef>
          </c:cat>
          <c:val>
            <c:numRef>
              <c:f>'Holt-Winters (2)'!$F$10:$F$117</c:f>
              <c:numCache>
                <c:formatCode>_(* #,##0.00_);_(* \(#,##0.00\);_(* "-"??_);_(@_)</c:formatCode>
                <c:ptCount val="108"/>
                <c:pt idx="0">
                  <c:v>112.003466548532</c:v>
                </c:pt>
                <c:pt idx="1">
                  <c:v>119.20640899420435</c:v>
                </c:pt>
                <c:pt idx="2">
                  <c:v>133.23299610080227</c:v>
                </c:pt>
                <c:pt idx="3">
                  <c:v>129.78196106755564</c:v>
                </c:pt>
                <c:pt idx="4">
                  <c:v>122.73043697573054</c:v>
                </c:pt>
                <c:pt idx="5">
                  <c:v>138.26969224238354</c:v>
                </c:pt>
                <c:pt idx="6">
                  <c:v>151.53157805366504</c:v>
                </c:pt>
                <c:pt idx="7">
                  <c:v>150.24488160685726</c:v>
                </c:pt>
                <c:pt idx="8">
                  <c:v>137.44275306927091</c:v>
                </c:pt>
                <c:pt idx="9">
                  <c:v>120.03453671830516</c:v>
                </c:pt>
                <c:pt idx="10">
                  <c:v>106.73831790965988</c:v>
                </c:pt>
                <c:pt idx="11">
                  <c:v>123.71171840558029</c:v>
                </c:pt>
                <c:pt idx="12">
                  <c:v>125.15625397198707</c:v>
                </c:pt>
                <c:pt idx="13">
                  <c:v>129.28086761997935</c:v>
                </c:pt>
                <c:pt idx="14">
                  <c:v>142.92621297018127</c:v>
                </c:pt>
                <c:pt idx="15">
                  <c:v>139.77057446409634</c:v>
                </c:pt>
                <c:pt idx="16">
                  <c:v>131.18906217631661</c:v>
                </c:pt>
                <c:pt idx="17">
                  <c:v>144.62594966712726</c:v>
                </c:pt>
                <c:pt idx="18">
                  <c:v>159.46946511531638</c:v>
                </c:pt>
                <c:pt idx="19">
                  <c:v>162.41787799573947</c:v>
                </c:pt>
                <c:pt idx="20">
                  <c:v>152.559356715212</c:v>
                </c:pt>
                <c:pt idx="21">
                  <c:v>137.15325197699667</c:v>
                </c:pt>
                <c:pt idx="22">
                  <c:v>122.00007584895437</c:v>
                </c:pt>
                <c:pt idx="23">
                  <c:v>135.64477444393674</c:v>
                </c:pt>
                <c:pt idx="24">
                  <c:v>136.02098827797272</c:v>
                </c:pt>
                <c:pt idx="25">
                  <c:v>149.94065258086067</c:v>
                </c:pt>
                <c:pt idx="26">
                  <c:v>165.60041188463663</c:v>
                </c:pt>
                <c:pt idx="27">
                  <c:v>163.64437278786053</c:v>
                </c:pt>
                <c:pt idx="28">
                  <c:v>155.1320524949225</c:v>
                </c:pt>
                <c:pt idx="29">
                  <c:v>182.20366926316197</c:v>
                </c:pt>
                <c:pt idx="30">
                  <c:v>200.24840893606557</c:v>
                </c:pt>
                <c:pt idx="31">
                  <c:v>198.57546887078641</c:v>
                </c:pt>
                <c:pt idx="32">
                  <c:v>185.73275052851977</c:v>
                </c:pt>
                <c:pt idx="33">
                  <c:v>161.51993120454756</c:v>
                </c:pt>
                <c:pt idx="34">
                  <c:v>144.6569363302844</c:v>
                </c:pt>
                <c:pt idx="35">
                  <c:v>170.27781860239503</c:v>
                </c:pt>
                <c:pt idx="36">
                  <c:v>172.62159355018144</c:v>
                </c:pt>
                <c:pt idx="37">
                  <c:v>177.50232994277377</c:v>
                </c:pt>
                <c:pt idx="38">
                  <c:v>203.57508561966307</c:v>
                </c:pt>
                <c:pt idx="39">
                  <c:v>186.59700452487112</c:v>
                </c:pt>
                <c:pt idx="40">
                  <c:v>190.84310383114888</c:v>
                </c:pt>
                <c:pt idx="41">
                  <c:v>196.19757918428672</c:v>
                </c:pt>
                <c:pt idx="42">
                  <c:v>222.50008034639046</c:v>
                </c:pt>
                <c:pt idx="43">
                  <c:v>224.2948399102666</c:v>
                </c:pt>
                <c:pt idx="44">
                  <c:v>213.85678563719631</c:v>
                </c:pt>
                <c:pt idx="45">
                  <c:v>190.94430773024604</c:v>
                </c:pt>
                <c:pt idx="46">
                  <c:v>174.92759218060468</c:v>
                </c:pt>
                <c:pt idx="47">
                  <c:v>195.48704647919823</c:v>
                </c:pt>
                <c:pt idx="48">
                  <c:v>200.78617351515098</c:v>
                </c:pt>
                <c:pt idx="49">
                  <c:v>208.44327042453455</c:v>
                </c:pt>
                <c:pt idx="50">
                  <c:v>221.26817465574356</c:v>
                </c:pt>
                <c:pt idx="51">
                  <c:v>214.0482516818011</c:v>
                </c:pt>
                <c:pt idx="52">
                  <c:v>222.75457694124296</c:v>
                </c:pt>
                <c:pt idx="53">
                  <c:v>254.69948160824521</c:v>
                </c:pt>
                <c:pt idx="54">
                  <c:v>262.77526328318413</c:v>
                </c:pt>
                <c:pt idx="55">
                  <c:v>271.44153521276644</c:v>
                </c:pt>
                <c:pt idx="56">
                  <c:v>239.91045296443991</c:v>
                </c:pt>
                <c:pt idx="57">
                  <c:v>221.53516049633564</c:v>
                </c:pt>
                <c:pt idx="58">
                  <c:v>201.11596655782887</c:v>
                </c:pt>
                <c:pt idx="59">
                  <c:v>219.00762452641234</c:v>
                </c:pt>
                <c:pt idx="60">
                  <c:v>218.28250466733471</c:v>
                </c:pt>
                <c:pt idx="61">
                  <c:v>218.05312541828698</c:v>
                </c:pt>
                <c:pt idx="62">
                  <c:v>248.30656020146915</c:v>
                </c:pt>
                <c:pt idx="63">
                  <c:v>239.82850591523089</c:v>
                </c:pt>
                <c:pt idx="64">
                  <c:v>229.63521154054081</c:v>
                </c:pt>
                <c:pt idx="65">
                  <c:v>247.19715501229371</c:v>
                </c:pt>
                <c:pt idx="66">
                  <c:v>271.71003632754793</c:v>
                </c:pt>
                <c:pt idx="67">
                  <c:v>286.40811816443602</c:v>
                </c:pt>
                <c:pt idx="68">
                  <c:v>253.6529147966952</c:v>
                </c:pt>
                <c:pt idx="69">
                  <c:v>231.3246681508063</c:v>
                </c:pt>
                <c:pt idx="70">
                  <c:v>204.6570464043009</c:v>
                </c:pt>
                <c:pt idx="71">
                  <c:v>229.49187850328804</c:v>
                </c:pt>
                <c:pt idx="72">
                  <c:v>235.79925470138789</c:v>
                </c:pt>
                <c:pt idx="73">
                  <c:v>228.1109782835133</c:v>
                </c:pt>
                <c:pt idx="74">
                  <c:v>279.50935286905036</c:v>
                </c:pt>
                <c:pt idx="75">
                  <c:v>271.96555653644231</c:v>
                </c:pt>
                <c:pt idx="76">
                  <c:v>277.75635283542863</c:v>
                </c:pt>
                <c:pt idx="77">
                  <c:v>302.72188019202338</c:v>
                </c:pt>
                <c:pt idx="78">
                  <c:v>337.12749385986507</c:v>
                </c:pt>
                <c:pt idx="79">
                  <c:v>332.98507437472199</c:v>
                </c:pt>
                <c:pt idx="80">
                  <c:v>301.29707349328669</c:v>
                </c:pt>
                <c:pt idx="81">
                  <c:v>274.58635968426699</c:v>
                </c:pt>
                <c:pt idx="82">
                  <c:v>249.2427871772116</c:v>
                </c:pt>
                <c:pt idx="83">
                  <c:v>273.05034750694324</c:v>
                </c:pt>
                <c:pt idx="84">
                  <c:v>286.19120274593877</c:v>
                </c:pt>
                <c:pt idx="85">
                  <c:v>276.0316534966903</c:v>
                </c:pt>
                <c:pt idx="86">
                  <c:v>313.40725433773076</c:v>
                </c:pt>
                <c:pt idx="87">
                  <c:v>317.29151939031431</c:v>
                </c:pt>
                <c:pt idx="88">
                  <c:v>319.49403654754559</c:v>
                </c:pt>
                <c:pt idx="89">
                  <c:v>361.90725342779461</c:v>
                </c:pt>
                <c:pt idx="90">
                  <c:v>408.10179937407418</c:v>
                </c:pt>
                <c:pt idx="91">
                  <c:v>389.50620614228251</c:v>
                </c:pt>
                <c:pt idx="92">
                  <c:v>355.9884383023541</c:v>
                </c:pt>
                <c:pt idx="93">
                  <c:v>318.30407821424535</c:v>
                </c:pt>
                <c:pt idx="94">
                  <c:v>281.67479773569892</c:v>
                </c:pt>
                <c:pt idx="95">
                  <c:v>319.61574839791126</c:v>
                </c:pt>
                <c:pt idx="96">
                  <c:v>323.44981970037509</c:v>
                </c:pt>
                <c:pt idx="97">
                  <c:v>314.71744899839382</c:v>
                </c:pt>
                <c:pt idx="98">
                  <c:v>351.21567705934916</c:v>
                </c:pt>
                <c:pt idx="99">
                  <c:v>349.54562748998563</c:v>
                </c:pt>
                <c:pt idx="100">
                  <c:v>354.86875283823508</c:v>
                </c:pt>
                <c:pt idx="101">
                  <c:v>408.56844498521968</c:v>
                </c:pt>
                <c:pt idx="102">
                  <c:v>449.79950985426427</c:v>
                </c:pt>
                <c:pt idx="103">
                  <c:v>442.10577404049582</c:v>
                </c:pt>
                <c:pt idx="104">
                  <c:v>398.2145897322626</c:v>
                </c:pt>
                <c:pt idx="105">
                  <c:v>353.62004298507168</c:v>
                </c:pt>
                <c:pt idx="106">
                  <c:v>319.94186635389275</c:v>
                </c:pt>
                <c:pt idx="107">
                  <c:v>355.07076813301506</c:v>
                </c:pt>
              </c:numCache>
            </c:numRef>
          </c:val>
          <c:smooth val="0"/>
          <c:extLst>
            <c:ext xmlns:c16="http://schemas.microsoft.com/office/drawing/2014/chart" uri="{C3380CC4-5D6E-409C-BE32-E72D297353CC}">
              <c16:uniqueId val="{00000001-2181-414F-A952-BEB776CF5E09}"/>
            </c:ext>
          </c:extLst>
        </c:ser>
        <c:dLbls>
          <c:showLegendKey val="0"/>
          <c:showVal val="0"/>
          <c:showCatName val="0"/>
          <c:showSerName val="0"/>
          <c:showPercent val="0"/>
          <c:showBubbleSize val="0"/>
        </c:dLbls>
        <c:smooth val="0"/>
        <c:axId val="1486141200"/>
        <c:axId val="1486139952"/>
      </c:lineChart>
      <c:dateAx>
        <c:axId val="1486141200"/>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39952"/>
        <c:crosses val="autoZero"/>
        <c:auto val="1"/>
        <c:lblOffset val="100"/>
        <c:baseTimeUnit val="months"/>
      </c:dateAx>
      <c:valAx>
        <c:axId val="148613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41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Passengers vs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'Holt-Winters (3)'!$B$8</c:f>
              <c:strCache>
                <c:ptCount val="1"/>
                <c:pt idx="0">
                  <c:v>Thousands of Passengers</c:v>
                </c:pt>
              </c:strCache>
            </c:strRef>
          </c:tx>
          <c:spPr>
            <a:ln w="28575" cap="rnd">
              <a:solidFill>
                <a:schemeClr val="accent1"/>
              </a:solidFill>
              <a:round/>
            </a:ln>
            <a:effectLst/>
          </c:spPr>
          <c:marker>
            <c:symbol val="none"/>
          </c:marker>
          <c:cat>
            <c:numRef>
              <c:f>'Holt-Winters (3)'!$A$10:$A$117</c:f>
              <c:numCache>
                <c:formatCode>m/d/yyyy</c:formatCode>
                <c:ptCount val="108"/>
                <c:pt idx="0">
                  <c:v>17899</c:v>
                </c:pt>
                <c:pt idx="1">
                  <c:v>17930</c:v>
                </c:pt>
                <c:pt idx="2">
                  <c:v>17958</c:v>
                </c:pt>
                <c:pt idx="3">
                  <c:v>17989</c:v>
                </c:pt>
                <c:pt idx="4">
                  <c:v>18019</c:v>
                </c:pt>
                <c:pt idx="5">
                  <c:v>18050</c:v>
                </c:pt>
                <c:pt idx="6">
                  <c:v>18080</c:v>
                </c:pt>
                <c:pt idx="7">
                  <c:v>18111</c:v>
                </c:pt>
                <c:pt idx="8">
                  <c:v>18142</c:v>
                </c:pt>
                <c:pt idx="9">
                  <c:v>18172</c:v>
                </c:pt>
                <c:pt idx="10">
                  <c:v>18203</c:v>
                </c:pt>
                <c:pt idx="11">
                  <c:v>18233</c:v>
                </c:pt>
                <c:pt idx="12">
                  <c:v>18264</c:v>
                </c:pt>
                <c:pt idx="13">
                  <c:v>18295</c:v>
                </c:pt>
                <c:pt idx="14">
                  <c:v>18323</c:v>
                </c:pt>
                <c:pt idx="15">
                  <c:v>18354</c:v>
                </c:pt>
                <c:pt idx="16">
                  <c:v>18384</c:v>
                </c:pt>
                <c:pt idx="17">
                  <c:v>18415</c:v>
                </c:pt>
                <c:pt idx="18">
                  <c:v>18445</c:v>
                </c:pt>
                <c:pt idx="19">
                  <c:v>18476</c:v>
                </c:pt>
                <c:pt idx="20">
                  <c:v>18507</c:v>
                </c:pt>
                <c:pt idx="21">
                  <c:v>18537</c:v>
                </c:pt>
                <c:pt idx="22">
                  <c:v>18568</c:v>
                </c:pt>
                <c:pt idx="23">
                  <c:v>18598</c:v>
                </c:pt>
                <c:pt idx="24">
                  <c:v>18629</c:v>
                </c:pt>
                <c:pt idx="25">
                  <c:v>18660</c:v>
                </c:pt>
                <c:pt idx="26">
                  <c:v>18688</c:v>
                </c:pt>
                <c:pt idx="27">
                  <c:v>18719</c:v>
                </c:pt>
                <c:pt idx="28">
                  <c:v>18749</c:v>
                </c:pt>
                <c:pt idx="29">
                  <c:v>18780</c:v>
                </c:pt>
                <c:pt idx="30">
                  <c:v>18810</c:v>
                </c:pt>
                <c:pt idx="31">
                  <c:v>18841</c:v>
                </c:pt>
                <c:pt idx="32">
                  <c:v>18872</c:v>
                </c:pt>
                <c:pt idx="33">
                  <c:v>18902</c:v>
                </c:pt>
                <c:pt idx="34">
                  <c:v>18933</c:v>
                </c:pt>
                <c:pt idx="35">
                  <c:v>18963</c:v>
                </c:pt>
                <c:pt idx="36">
                  <c:v>18994</c:v>
                </c:pt>
                <c:pt idx="37">
                  <c:v>19025</c:v>
                </c:pt>
                <c:pt idx="38">
                  <c:v>19054</c:v>
                </c:pt>
                <c:pt idx="39">
                  <c:v>19085</c:v>
                </c:pt>
                <c:pt idx="40">
                  <c:v>19115</c:v>
                </c:pt>
                <c:pt idx="41">
                  <c:v>19146</c:v>
                </c:pt>
                <c:pt idx="42">
                  <c:v>19176</c:v>
                </c:pt>
                <c:pt idx="43">
                  <c:v>19207</c:v>
                </c:pt>
                <c:pt idx="44">
                  <c:v>19238</c:v>
                </c:pt>
                <c:pt idx="45">
                  <c:v>19268</c:v>
                </c:pt>
                <c:pt idx="46">
                  <c:v>19299</c:v>
                </c:pt>
                <c:pt idx="47">
                  <c:v>19329</c:v>
                </c:pt>
                <c:pt idx="48">
                  <c:v>19360</c:v>
                </c:pt>
                <c:pt idx="49">
                  <c:v>19391</c:v>
                </c:pt>
                <c:pt idx="50">
                  <c:v>19419</c:v>
                </c:pt>
                <c:pt idx="51">
                  <c:v>19450</c:v>
                </c:pt>
                <c:pt idx="52">
                  <c:v>19480</c:v>
                </c:pt>
                <c:pt idx="53">
                  <c:v>19511</c:v>
                </c:pt>
                <c:pt idx="54">
                  <c:v>19541</c:v>
                </c:pt>
                <c:pt idx="55">
                  <c:v>19572</c:v>
                </c:pt>
                <c:pt idx="56">
                  <c:v>19603</c:v>
                </c:pt>
                <c:pt idx="57">
                  <c:v>19633</c:v>
                </c:pt>
                <c:pt idx="58">
                  <c:v>19664</c:v>
                </c:pt>
                <c:pt idx="59">
                  <c:v>19694</c:v>
                </c:pt>
                <c:pt idx="60">
                  <c:v>19725</c:v>
                </c:pt>
                <c:pt idx="61">
                  <c:v>19756</c:v>
                </c:pt>
                <c:pt idx="62">
                  <c:v>19784</c:v>
                </c:pt>
                <c:pt idx="63">
                  <c:v>19815</c:v>
                </c:pt>
                <c:pt idx="64">
                  <c:v>19845</c:v>
                </c:pt>
                <c:pt idx="65">
                  <c:v>19876</c:v>
                </c:pt>
                <c:pt idx="66">
                  <c:v>19906</c:v>
                </c:pt>
                <c:pt idx="67">
                  <c:v>19937</c:v>
                </c:pt>
                <c:pt idx="68">
                  <c:v>19968</c:v>
                </c:pt>
                <c:pt idx="69">
                  <c:v>19998</c:v>
                </c:pt>
                <c:pt idx="70">
                  <c:v>20029</c:v>
                </c:pt>
                <c:pt idx="71">
                  <c:v>20059</c:v>
                </c:pt>
                <c:pt idx="72">
                  <c:v>20090</c:v>
                </c:pt>
                <c:pt idx="73">
                  <c:v>20121</c:v>
                </c:pt>
                <c:pt idx="74">
                  <c:v>20149</c:v>
                </c:pt>
                <c:pt idx="75">
                  <c:v>20180</c:v>
                </c:pt>
                <c:pt idx="76">
                  <c:v>20210</c:v>
                </c:pt>
                <c:pt idx="77">
                  <c:v>20241</c:v>
                </c:pt>
                <c:pt idx="78">
                  <c:v>20271</c:v>
                </c:pt>
                <c:pt idx="79">
                  <c:v>20302</c:v>
                </c:pt>
                <c:pt idx="80">
                  <c:v>20333</c:v>
                </c:pt>
                <c:pt idx="81">
                  <c:v>20363</c:v>
                </c:pt>
                <c:pt idx="82">
                  <c:v>20394</c:v>
                </c:pt>
                <c:pt idx="83">
                  <c:v>20424</c:v>
                </c:pt>
                <c:pt idx="84">
                  <c:v>20455</c:v>
                </c:pt>
                <c:pt idx="85">
                  <c:v>20486</c:v>
                </c:pt>
                <c:pt idx="86">
                  <c:v>20515</c:v>
                </c:pt>
                <c:pt idx="87">
                  <c:v>20546</c:v>
                </c:pt>
                <c:pt idx="88">
                  <c:v>20576</c:v>
                </c:pt>
                <c:pt idx="89">
                  <c:v>20607</c:v>
                </c:pt>
                <c:pt idx="90">
                  <c:v>20637</c:v>
                </c:pt>
                <c:pt idx="91">
                  <c:v>20668</c:v>
                </c:pt>
                <c:pt idx="92">
                  <c:v>20699</c:v>
                </c:pt>
                <c:pt idx="93">
                  <c:v>20729</c:v>
                </c:pt>
                <c:pt idx="94">
                  <c:v>20760</c:v>
                </c:pt>
                <c:pt idx="95">
                  <c:v>20790</c:v>
                </c:pt>
                <c:pt idx="96">
                  <c:v>20821</c:v>
                </c:pt>
                <c:pt idx="97">
                  <c:v>20852</c:v>
                </c:pt>
                <c:pt idx="98">
                  <c:v>20880</c:v>
                </c:pt>
                <c:pt idx="99">
                  <c:v>20911</c:v>
                </c:pt>
                <c:pt idx="100">
                  <c:v>20941</c:v>
                </c:pt>
                <c:pt idx="101">
                  <c:v>20972</c:v>
                </c:pt>
                <c:pt idx="102">
                  <c:v>21002</c:v>
                </c:pt>
                <c:pt idx="103">
                  <c:v>21033</c:v>
                </c:pt>
                <c:pt idx="104">
                  <c:v>21064</c:v>
                </c:pt>
                <c:pt idx="105">
                  <c:v>21094</c:v>
                </c:pt>
                <c:pt idx="106">
                  <c:v>21125</c:v>
                </c:pt>
                <c:pt idx="107">
                  <c:v>21155</c:v>
                </c:pt>
              </c:numCache>
            </c:numRef>
          </c:cat>
          <c:val>
            <c:numRef>
              <c:f>'Holt-Winters (3)'!$B$10:$B$117</c:f>
              <c:numCache>
                <c:formatCode>General</c:formatCode>
                <c:ptCount val="108"/>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numCache>
            </c:numRef>
          </c:val>
          <c:smooth val="0"/>
          <c:extLst>
            <c:ext xmlns:c16="http://schemas.microsoft.com/office/drawing/2014/chart" uri="{C3380CC4-5D6E-409C-BE32-E72D297353CC}">
              <c16:uniqueId val="{00000000-18A9-462A-AB9C-0EC25CD3BBF3}"/>
            </c:ext>
          </c:extLst>
        </c:ser>
        <c:ser>
          <c:idx val="1"/>
          <c:order val="1"/>
          <c:tx>
            <c:strRef>
              <c:f>'Holt-Winters (3)'!$F$8</c:f>
              <c:strCache>
                <c:ptCount val="1"/>
                <c:pt idx="0">
                  <c:v>Model</c:v>
                </c:pt>
              </c:strCache>
            </c:strRef>
          </c:tx>
          <c:spPr>
            <a:ln w="28575" cap="rnd">
              <a:solidFill>
                <a:schemeClr val="accent2"/>
              </a:solidFill>
              <a:round/>
            </a:ln>
            <a:effectLst/>
          </c:spPr>
          <c:marker>
            <c:symbol val="none"/>
          </c:marker>
          <c:cat>
            <c:numRef>
              <c:f>'Holt-Winters (3)'!$A$10:$A$117</c:f>
              <c:numCache>
                <c:formatCode>m/d/yyyy</c:formatCode>
                <c:ptCount val="108"/>
                <c:pt idx="0">
                  <c:v>17899</c:v>
                </c:pt>
                <c:pt idx="1">
                  <c:v>17930</c:v>
                </c:pt>
                <c:pt idx="2">
                  <c:v>17958</c:v>
                </c:pt>
                <c:pt idx="3">
                  <c:v>17989</c:v>
                </c:pt>
                <c:pt idx="4">
                  <c:v>18019</c:v>
                </c:pt>
                <c:pt idx="5">
                  <c:v>18050</c:v>
                </c:pt>
                <c:pt idx="6">
                  <c:v>18080</c:v>
                </c:pt>
                <c:pt idx="7">
                  <c:v>18111</c:v>
                </c:pt>
                <c:pt idx="8">
                  <c:v>18142</c:v>
                </c:pt>
                <c:pt idx="9">
                  <c:v>18172</c:v>
                </c:pt>
                <c:pt idx="10">
                  <c:v>18203</c:v>
                </c:pt>
                <c:pt idx="11">
                  <c:v>18233</c:v>
                </c:pt>
                <c:pt idx="12">
                  <c:v>18264</c:v>
                </c:pt>
                <c:pt idx="13">
                  <c:v>18295</c:v>
                </c:pt>
                <c:pt idx="14">
                  <c:v>18323</c:v>
                </c:pt>
                <c:pt idx="15">
                  <c:v>18354</c:v>
                </c:pt>
                <c:pt idx="16">
                  <c:v>18384</c:v>
                </c:pt>
                <c:pt idx="17">
                  <c:v>18415</c:v>
                </c:pt>
                <c:pt idx="18">
                  <c:v>18445</c:v>
                </c:pt>
                <c:pt idx="19">
                  <c:v>18476</c:v>
                </c:pt>
                <c:pt idx="20">
                  <c:v>18507</c:v>
                </c:pt>
                <c:pt idx="21">
                  <c:v>18537</c:v>
                </c:pt>
                <c:pt idx="22">
                  <c:v>18568</c:v>
                </c:pt>
                <c:pt idx="23">
                  <c:v>18598</c:v>
                </c:pt>
                <c:pt idx="24">
                  <c:v>18629</c:v>
                </c:pt>
                <c:pt idx="25">
                  <c:v>18660</c:v>
                </c:pt>
                <c:pt idx="26">
                  <c:v>18688</c:v>
                </c:pt>
                <c:pt idx="27">
                  <c:v>18719</c:v>
                </c:pt>
                <c:pt idx="28">
                  <c:v>18749</c:v>
                </c:pt>
                <c:pt idx="29">
                  <c:v>18780</c:v>
                </c:pt>
                <c:pt idx="30">
                  <c:v>18810</c:v>
                </c:pt>
                <c:pt idx="31">
                  <c:v>18841</c:v>
                </c:pt>
                <c:pt idx="32">
                  <c:v>18872</c:v>
                </c:pt>
                <c:pt idx="33">
                  <c:v>18902</c:v>
                </c:pt>
                <c:pt idx="34">
                  <c:v>18933</c:v>
                </c:pt>
                <c:pt idx="35">
                  <c:v>18963</c:v>
                </c:pt>
                <c:pt idx="36">
                  <c:v>18994</c:v>
                </c:pt>
                <c:pt idx="37">
                  <c:v>19025</c:v>
                </c:pt>
                <c:pt idx="38">
                  <c:v>19054</c:v>
                </c:pt>
                <c:pt idx="39">
                  <c:v>19085</c:v>
                </c:pt>
                <c:pt idx="40">
                  <c:v>19115</c:v>
                </c:pt>
                <c:pt idx="41">
                  <c:v>19146</c:v>
                </c:pt>
                <c:pt idx="42">
                  <c:v>19176</c:v>
                </c:pt>
                <c:pt idx="43">
                  <c:v>19207</c:v>
                </c:pt>
                <c:pt idx="44">
                  <c:v>19238</c:v>
                </c:pt>
                <c:pt idx="45">
                  <c:v>19268</c:v>
                </c:pt>
                <c:pt idx="46">
                  <c:v>19299</c:v>
                </c:pt>
                <c:pt idx="47">
                  <c:v>19329</c:v>
                </c:pt>
                <c:pt idx="48">
                  <c:v>19360</c:v>
                </c:pt>
                <c:pt idx="49">
                  <c:v>19391</c:v>
                </c:pt>
                <c:pt idx="50">
                  <c:v>19419</c:v>
                </c:pt>
                <c:pt idx="51">
                  <c:v>19450</c:v>
                </c:pt>
                <c:pt idx="52">
                  <c:v>19480</c:v>
                </c:pt>
                <c:pt idx="53">
                  <c:v>19511</c:v>
                </c:pt>
                <c:pt idx="54">
                  <c:v>19541</c:v>
                </c:pt>
                <c:pt idx="55">
                  <c:v>19572</c:v>
                </c:pt>
                <c:pt idx="56">
                  <c:v>19603</c:v>
                </c:pt>
                <c:pt idx="57">
                  <c:v>19633</c:v>
                </c:pt>
                <c:pt idx="58">
                  <c:v>19664</c:v>
                </c:pt>
                <c:pt idx="59">
                  <c:v>19694</c:v>
                </c:pt>
                <c:pt idx="60">
                  <c:v>19725</c:v>
                </c:pt>
                <c:pt idx="61">
                  <c:v>19756</c:v>
                </c:pt>
                <c:pt idx="62">
                  <c:v>19784</c:v>
                </c:pt>
                <c:pt idx="63">
                  <c:v>19815</c:v>
                </c:pt>
                <c:pt idx="64">
                  <c:v>19845</c:v>
                </c:pt>
                <c:pt idx="65">
                  <c:v>19876</c:v>
                </c:pt>
                <c:pt idx="66">
                  <c:v>19906</c:v>
                </c:pt>
                <c:pt idx="67">
                  <c:v>19937</c:v>
                </c:pt>
                <c:pt idx="68">
                  <c:v>19968</c:v>
                </c:pt>
                <c:pt idx="69">
                  <c:v>19998</c:v>
                </c:pt>
                <c:pt idx="70">
                  <c:v>20029</c:v>
                </c:pt>
                <c:pt idx="71">
                  <c:v>20059</c:v>
                </c:pt>
                <c:pt idx="72">
                  <c:v>20090</c:v>
                </c:pt>
                <c:pt idx="73">
                  <c:v>20121</c:v>
                </c:pt>
                <c:pt idx="74">
                  <c:v>20149</c:v>
                </c:pt>
                <c:pt idx="75">
                  <c:v>20180</c:v>
                </c:pt>
                <c:pt idx="76">
                  <c:v>20210</c:v>
                </c:pt>
                <c:pt idx="77">
                  <c:v>20241</c:v>
                </c:pt>
                <c:pt idx="78">
                  <c:v>20271</c:v>
                </c:pt>
                <c:pt idx="79">
                  <c:v>20302</c:v>
                </c:pt>
                <c:pt idx="80">
                  <c:v>20333</c:v>
                </c:pt>
                <c:pt idx="81">
                  <c:v>20363</c:v>
                </c:pt>
                <c:pt idx="82">
                  <c:v>20394</c:v>
                </c:pt>
                <c:pt idx="83">
                  <c:v>20424</c:v>
                </c:pt>
                <c:pt idx="84">
                  <c:v>20455</c:v>
                </c:pt>
                <c:pt idx="85">
                  <c:v>20486</c:v>
                </c:pt>
                <c:pt idx="86">
                  <c:v>20515</c:v>
                </c:pt>
                <c:pt idx="87">
                  <c:v>20546</c:v>
                </c:pt>
                <c:pt idx="88">
                  <c:v>20576</c:v>
                </c:pt>
                <c:pt idx="89">
                  <c:v>20607</c:v>
                </c:pt>
                <c:pt idx="90">
                  <c:v>20637</c:v>
                </c:pt>
                <c:pt idx="91">
                  <c:v>20668</c:v>
                </c:pt>
                <c:pt idx="92">
                  <c:v>20699</c:v>
                </c:pt>
                <c:pt idx="93">
                  <c:v>20729</c:v>
                </c:pt>
                <c:pt idx="94">
                  <c:v>20760</c:v>
                </c:pt>
                <c:pt idx="95">
                  <c:v>20790</c:v>
                </c:pt>
                <c:pt idx="96">
                  <c:v>20821</c:v>
                </c:pt>
                <c:pt idx="97">
                  <c:v>20852</c:v>
                </c:pt>
                <c:pt idx="98">
                  <c:v>20880</c:v>
                </c:pt>
                <c:pt idx="99">
                  <c:v>20911</c:v>
                </c:pt>
                <c:pt idx="100">
                  <c:v>20941</c:v>
                </c:pt>
                <c:pt idx="101">
                  <c:v>20972</c:v>
                </c:pt>
                <c:pt idx="102">
                  <c:v>21002</c:v>
                </c:pt>
                <c:pt idx="103">
                  <c:v>21033</c:v>
                </c:pt>
                <c:pt idx="104">
                  <c:v>21064</c:v>
                </c:pt>
                <c:pt idx="105">
                  <c:v>21094</c:v>
                </c:pt>
                <c:pt idx="106">
                  <c:v>21125</c:v>
                </c:pt>
                <c:pt idx="107">
                  <c:v>21155</c:v>
                </c:pt>
              </c:numCache>
            </c:numRef>
          </c:cat>
          <c:val>
            <c:numRef>
              <c:f>'Holt-Winters (3)'!$F$10:$F$117</c:f>
              <c:numCache>
                <c:formatCode>_(* #,##0.00_);_(* \(#,##0.00\);_(* "-"??_);_(@_)</c:formatCode>
                <c:ptCount val="108"/>
                <c:pt idx="0">
                  <c:v>113.18893571581201</c:v>
                </c:pt>
                <c:pt idx="1">
                  <c:v>110.97368561136638</c:v>
                </c:pt>
                <c:pt idx="2">
                  <c:v>136.56957498382053</c:v>
                </c:pt>
                <c:pt idx="3">
                  <c:v>130.85744857469149</c:v>
                </c:pt>
                <c:pt idx="4">
                  <c:v>131.36966507632727</c:v>
                </c:pt>
                <c:pt idx="5">
                  <c:v>143.1911970847855</c:v>
                </c:pt>
                <c:pt idx="6">
                  <c:v>153.57282557483296</c:v>
                </c:pt>
                <c:pt idx="7">
                  <c:v>149.49854317483531</c:v>
                </c:pt>
                <c:pt idx="8">
                  <c:v>131.97574489609843</c:v>
                </c:pt>
                <c:pt idx="9">
                  <c:v>118.89813232706584</c:v>
                </c:pt>
                <c:pt idx="10">
                  <c:v>105.30800054527535</c:v>
                </c:pt>
                <c:pt idx="11">
                  <c:v>118.95914700578788</c:v>
                </c:pt>
                <c:pt idx="12">
                  <c:v>122.31393420649944</c:v>
                </c:pt>
                <c:pt idx="13">
                  <c:v>115.17659475075943</c:v>
                </c:pt>
                <c:pt idx="14">
                  <c:v>144.8399661607356</c:v>
                </c:pt>
                <c:pt idx="15">
                  <c:v>139.40783807447522</c:v>
                </c:pt>
                <c:pt idx="16">
                  <c:v>137.90965981383263</c:v>
                </c:pt>
                <c:pt idx="17">
                  <c:v>148.38474988979692</c:v>
                </c:pt>
                <c:pt idx="18">
                  <c:v>166.89555179167814</c:v>
                </c:pt>
                <c:pt idx="19">
                  <c:v>169.27954707548344</c:v>
                </c:pt>
                <c:pt idx="20">
                  <c:v>150.77091718075928</c:v>
                </c:pt>
                <c:pt idx="21">
                  <c:v>137.31388630234076</c:v>
                </c:pt>
                <c:pt idx="22">
                  <c:v>118.31950935299336</c:v>
                </c:pt>
                <c:pt idx="23">
                  <c:v>130.90400837184865</c:v>
                </c:pt>
                <c:pt idx="24">
                  <c:v>142.47075636868303</c:v>
                </c:pt>
                <c:pt idx="25">
                  <c:v>142.22035033326966</c:v>
                </c:pt>
                <c:pt idx="26">
                  <c:v>173.26430274524162</c:v>
                </c:pt>
                <c:pt idx="27">
                  <c:v>173.38836957195031</c:v>
                </c:pt>
                <c:pt idx="28">
                  <c:v>167.14645757509501</c:v>
                </c:pt>
                <c:pt idx="29">
                  <c:v>197.61198230400453</c:v>
                </c:pt>
                <c:pt idx="30">
                  <c:v>203.70046998153404</c:v>
                </c:pt>
                <c:pt idx="31">
                  <c:v>199.46393699530205</c:v>
                </c:pt>
                <c:pt idx="32">
                  <c:v>176.32586776255309</c:v>
                </c:pt>
                <c:pt idx="33">
                  <c:v>159.7054193842209</c:v>
                </c:pt>
                <c:pt idx="34">
                  <c:v>142.29583168513477</c:v>
                </c:pt>
                <c:pt idx="35">
                  <c:v>164.82762866228668</c:v>
                </c:pt>
                <c:pt idx="36">
                  <c:v>170.66773744422625</c:v>
                </c:pt>
                <c:pt idx="37">
                  <c:v>167.91951199520045</c:v>
                </c:pt>
                <c:pt idx="38">
                  <c:v>206.76586621496963</c:v>
                </c:pt>
                <c:pt idx="39">
                  <c:v>191.77997917556795</c:v>
                </c:pt>
                <c:pt idx="40">
                  <c:v>185.1932525040358</c:v>
                </c:pt>
                <c:pt idx="41">
                  <c:v>211.90956851839715</c:v>
                </c:pt>
                <c:pt idx="42">
                  <c:v>241.63587760059843</c:v>
                </c:pt>
                <c:pt idx="43">
                  <c:v>231.4293732130773</c:v>
                </c:pt>
                <c:pt idx="44">
                  <c:v>211.79148509203239</c:v>
                </c:pt>
                <c:pt idx="45">
                  <c:v>183.28071240432905</c:v>
                </c:pt>
                <c:pt idx="46">
                  <c:v>166.49575848420432</c:v>
                </c:pt>
                <c:pt idx="47">
                  <c:v>193.53958069264195</c:v>
                </c:pt>
                <c:pt idx="48">
                  <c:v>199.30604920690297</c:v>
                </c:pt>
                <c:pt idx="49">
                  <c:v>192.95186564707765</c:v>
                </c:pt>
                <c:pt idx="50">
                  <c:v>227.46835733986708</c:v>
                </c:pt>
                <c:pt idx="51">
                  <c:v>228.68114744800161</c:v>
                </c:pt>
                <c:pt idx="52">
                  <c:v>235.37362713822597</c:v>
                </c:pt>
                <c:pt idx="53">
                  <c:v>265.43324899500419</c:v>
                </c:pt>
                <c:pt idx="54">
                  <c:v>276.01785970843014</c:v>
                </c:pt>
                <c:pt idx="55">
                  <c:v>264.94540525650319</c:v>
                </c:pt>
                <c:pt idx="56">
                  <c:v>238.66217087655565</c:v>
                </c:pt>
                <c:pt idx="57">
                  <c:v>207.27264530683075</c:v>
                </c:pt>
                <c:pt idx="58">
                  <c:v>184.64609681732671</c:v>
                </c:pt>
                <c:pt idx="59">
                  <c:v>204.98026119554802</c:v>
                </c:pt>
                <c:pt idx="60">
                  <c:v>207.40723942994325</c:v>
                </c:pt>
                <c:pt idx="61">
                  <c:v>200.73814024823253</c:v>
                </c:pt>
                <c:pt idx="62">
                  <c:v>222.19892156414329</c:v>
                </c:pt>
                <c:pt idx="63">
                  <c:v>226.81743909453959</c:v>
                </c:pt>
                <c:pt idx="64">
                  <c:v>228.72031741320043</c:v>
                </c:pt>
                <c:pt idx="65">
                  <c:v>268.25082498367959</c:v>
                </c:pt>
                <c:pt idx="66">
                  <c:v>294.8116883236051</c:v>
                </c:pt>
                <c:pt idx="67">
                  <c:v>298.21179471473857</c:v>
                </c:pt>
                <c:pt idx="68">
                  <c:v>259.33154148725134</c:v>
                </c:pt>
                <c:pt idx="69">
                  <c:v>226.04022992429742</c:v>
                </c:pt>
                <c:pt idx="70">
                  <c:v>200.44774811922264</c:v>
                </c:pt>
                <c:pt idx="71">
                  <c:v>229.01436651642521</c:v>
                </c:pt>
                <c:pt idx="72">
                  <c:v>235.01223295032773</c:v>
                </c:pt>
                <c:pt idx="73">
                  <c:v>235.4305241857185</c:v>
                </c:pt>
                <c:pt idx="74">
                  <c:v>271.4860000511481</c:v>
                </c:pt>
                <c:pt idx="75">
                  <c:v>261.39415630641804</c:v>
                </c:pt>
                <c:pt idx="76">
                  <c:v>269.02282009744209</c:v>
                </c:pt>
                <c:pt idx="77">
                  <c:v>310.39437488985146</c:v>
                </c:pt>
                <c:pt idx="78">
                  <c:v>348.90333443237159</c:v>
                </c:pt>
                <c:pt idx="79">
                  <c:v>357.49166095274694</c:v>
                </c:pt>
                <c:pt idx="80">
                  <c:v>307.49979823046249</c:v>
                </c:pt>
                <c:pt idx="81">
                  <c:v>270.94778382394486</c:v>
                </c:pt>
                <c:pt idx="82">
                  <c:v>239.5719346987193</c:v>
                </c:pt>
                <c:pt idx="83">
                  <c:v>268.38152146005535</c:v>
                </c:pt>
                <c:pt idx="84">
                  <c:v>282.7262022894393</c:v>
                </c:pt>
                <c:pt idx="85">
                  <c:v>277.40090295711906</c:v>
                </c:pt>
                <c:pt idx="86">
                  <c:v>321.69250108411319</c:v>
                </c:pt>
                <c:pt idx="87">
                  <c:v>309.79095382516954</c:v>
                </c:pt>
                <c:pt idx="88">
                  <c:v>313.88257407750518</c:v>
                </c:pt>
                <c:pt idx="89">
                  <c:v>364.38612789570135</c:v>
                </c:pt>
                <c:pt idx="90">
                  <c:v>412.73356227818851</c:v>
                </c:pt>
                <c:pt idx="91">
                  <c:v>408.84365520362388</c:v>
                </c:pt>
                <c:pt idx="92">
                  <c:v>356.89935276107002</c:v>
                </c:pt>
                <c:pt idx="93">
                  <c:v>309.31945245686552</c:v>
                </c:pt>
                <c:pt idx="94">
                  <c:v>268.60956253746303</c:v>
                </c:pt>
                <c:pt idx="95">
                  <c:v>305.292826145253</c:v>
                </c:pt>
                <c:pt idx="96">
                  <c:v>313.17571933510862</c:v>
                </c:pt>
                <c:pt idx="97">
                  <c:v>307.37403261896526</c:v>
                </c:pt>
                <c:pt idx="98">
                  <c:v>350.85007532313625</c:v>
                </c:pt>
                <c:pt idx="99">
                  <c:v>345.43958512615205</c:v>
                </c:pt>
                <c:pt idx="100">
                  <c:v>348.9491128960118</c:v>
                </c:pt>
                <c:pt idx="101">
                  <c:v>406.12548249231099</c:v>
                </c:pt>
                <c:pt idx="102">
                  <c:v>464.13997254265394</c:v>
                </c:pt>
                <c:pt idx="103">
                  <c:v>459.85194673057407</c:v>
                </c:pt>
                <c:pt idx="104">
                  <c:v>408.96880625635407</c:v>
                </c:pt>
                <c:pt idx="105">
                  <c:v>352.25254036914828</c:v>
                </c:pt>
                <c:pt idx="106">
                  <c:v>304.63710147789641</c:v>
                </c:pt>
                <c:pt idx="107">
                  <c:v>343.90601701648433</c:v>
                </c:pt>
              </c:numCache>
            </c:numRef>
          </c:val>
          <c:smooth val="0"/>
          <c:extLst>
            <c:ext xmlns:c16="http://schemas.microsoft.com/office/drawing/2014/chart" uri="{C3380CC4-5D6E-409C-BE32-E72D297353CC}">
              <c16:uniqueId val="{00000001-18A9-462A-AB9C-0EC25CD3BBF3}"/>
            </c:ext>
          </c:extLst>
        </c:ser>
        <c:dLbls>
          <c:showLegendKey val="0"/>
          <c:showVal val="0"/>
          <c:showCatName val="0"/>
          <c:showSerName val="0"/>
          <c:showPercent val="0"/>
          <c:showBubbleSize val="0"/>
        </c:dLbls>
        <c:smooth val="0"/>
        <c:axId val="1486141200"/>
        <c:axId val="1486139952"/>
      </c:lineChart>
      <c:dateAx>
        <c:axId val="1486141200"/>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39952"/>
        <c:crosses val="autoZero"/>
        <c:auto val="1"/>
        <c:lblOffset val="100"/>
        <c:baseTimeUnit val="months"/>
      </c:dateAx>
      <c:valAx>
        <c:axId val="148613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41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Passengers vs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'Holt-Winters (4)'!$B$8</c:f>
              <c:strCache>
                <c:ptCount val="1"/>
                <c:pt idx="0">
                  <c:v>Thousands of Passengers</c:v>
                </c:pt>
              </c:strCache>
            </c:strRef>
          </c:tx>
          <c:spPr>
            <a:ln w="28575" cap="rnd">
              <a:solidFill>
                <a:schemeClr val="accent1"/>
              </a:solidFill>
              <a:round/>
            </a:ln>
            <a:effectLst/>
          </c:spPr>
          <c:marker>
            <c:symbol val="none"/>
          </c:marker>
          <c:cat>
            <c:numRef>
              <c:f>'Holt-Winters (4)'!$A$10:$A$117</c:f>
              <c:numCache>
                <c:formatCode>m/d/yyyy</c:formatCode>
                <c:ptCount val="108"/>
                <c:pt idx="0">
                  <c:v>17899</c:v>
                </c:pt>
                <c:pt idx="1">
                  <c:v>17930</c:v>
                </c:pt>
                <c:pt idx="2">
                  <c:v>17958</c:v>
                </c:pt>
                <c:pt idx="3">
                  <c:v>17989</c:v>
                </c:pt>
                <c:pt idx="4">
                  <c:v>18019</c:v>
                </c:pt>
                <c:pt idx="5">
                  <c:v>18050</c:v>
                </c:pt>
                <c:pt idx="6">
                  <c:v>18080</c:v>
                </c:pt>
                <c:pt idx="7">
                  <c:v>18111</c:v>
                </c:pt>
                <c:pt idx="8">
                  <c:v>18142</c:v>
                </c:pt>
                <c:pt idx="9">
                  <c:v>18172</c:v>
                </c:pt>
                <c:pt idx="10">
                  <c:v>18203</c:v>
                </c:pt>
                <c:pt idx="11">
                  <c:v>18233</c:v>
                </c:pt>
                <c:pt idx="12">
                  <c:v>18264</c:v>
                </c:pt>
                <c:pt idx="13">
                  <c:v>18295</c:v>
                </c:pt>
                <c:pt idx="14">
                  <c:v>18323</c:v>
                </c:pt>
                <c:pt idx="15">
                  <c:v>18354</c:v>
                </c:pt>
                <c:pt idx="16">
                  <c:v>18384</c:v>
                </c:pt>
                <c:pt idx="17">
                  <c:v>18415</c:v>
                </c:pt>
                <c:pt idx="18">
                  <c:v>18445</c:v>
                </c:pt>
                <c:pt idx="19">
                  <c:v>18476</c:v>
                </c:pt>
                <c:pt idx="20">
                  <c:v>18507</c:v>
                </c:pt>
                <c:pt idx="21">
                  <c:v>18537</c:v>
                </c:pt>
                <c:pt idx="22">
                  <c:v>18568</c:v>
                </c:pt>
                <c:pt idx="23">
                  <c:v>18598</c:v>
                </c:pt>
                <c:pt idx="24">
                  <c:v>18629</c:v>
                </c:pt>
                <c:pt idx="25">
                  <c:v>18660</c:v>
                </c:pt>
                <c:pt idx="26">
                  <c:v>18688</c:v>
                </c:pt>
                <c:pt idx="27">
                  <c:v>18719</c:v>
                </c:pt>
                <c:pt idx="28">
                  <c:v>18749</c:v>
                </c:pt>
                <c:pt idx="29">
                  <c:v>18780</c:v>
                </c:pt>
                <c:pt idx="30">
                  <c:v>18810</c:v>
                </c:pt>
                <c:pt idx="31">
                  <c:v>18841</c:v>
                </c:pt>
                <c:pt idx="32">
                  <c:v>18872</c:v>
                </c:pt>
                <c:pt idx="33">
                  <c:v>18902</c:v>
                </c:pt>
                <c:pt idx="34">
                  <c:v>18933</c:v>
                </c:pt>
                <c:pt idx="35">
                  <c:v>18963</c:v>
                </c:pt>
                <c:pt idx="36">
                  <c:v>18994</c:v>
                </c:pt>
                <c:pt idx="37">
                  <c:v>19025</c:v>
                </c:pt>
                <c:pt idx="38">
                  <c:v>19054</c:v>
                </c:pt>
                <c:pt idx="39">
                  <c:v>19085</c:v>
                </c:pt>
                <c:pt idx="40">
                  <c:v>19115</c:v>
                </c:pt>
                <c:pt idx="41">
                  <c:v>19146</c:v>
                </c:pt>
                <c:pt idx="42">
                  <c:v>19176</c:v>
                </c:pt>
                <c:pt idx="43">
                  <c:v>19207</c:v>
                </c:pt>
                <c:pt idx="44">
                  <c:v>19238</c:v>
                </c:pt>
                <c:pt idx="45">
                  <c:v>19268</c:v>
                </c:pt>
                <c:pt idx="46">
                  <c:v>19299</c:v>
                </c:pt>
                <c:pt idx="47">
                  <c:v>19329</c:v>
                </c:pt>
                <c:pt idx="48">
                  <c:v>19360</c:v>
                </c:pt>
                <c:pt idx="49">
                  <c:v>19391</c:v>
                </c:pt>
                <c:pt idx="50">
                  <c:v>19419</c:v>
                </c:pt>
                <c:pt idx="51">
                  <c:v>19450</c:v>
                </c:pt>
                <c:pt idx="52">
                  <c:v>19480</c:v>
                </c:pt>
                <c:pt idx="53">
                  <c:v>19511</c:v>
                </c:pt>
                <c:pt idx="54">
                  <c:v>19541</c:v>
                </c:pt>
                <c:pt idx="55">
                  <c:v>19572</c:v>
                </c:pt>
                <c:pt idx="56">
                  <c:v>19603</c:v>
                </c:pt>
                <c:pt idx="57">
                  <c:v>19633</c:v>
                </c:pt>
                <c:pt idx="58">
                  <c:v>19664</c:v>
                </c:pt>
                <c:pt idx="59">
                  <c:v>19694</c:v>
                </c:pt>
                <c:pt idx="60">
                  <c:v>19725</c:v>
                </c:pt>
                <c:pt idx="61">
                  <c:v>19756</c:v>
                </c:pt>
                <c:pt idx="62">
                  <c:v>19784</c:v>
                </c:pt>
                <c:pt idx="63">
                  <c:v>19815</c:v>
                </c:pt>
                <c:pt idx="64">
                  <c:v>19845</c:v>
                </c:pt>
                <c:pt idx="65">
                  <c:v>19876</c:v>
                </c:pt>
                <c:pt idx="66">
                  <c:v>19906</c:v>
                </c:pt>
                <c:pt idx="67">
                  <c:v>19937</c:v>
                </c:pt>
                <c:pt idx="68">
                  <c:v>19968</c:v>
                </c:pt>
                <c:pt idx="69">
                  <c:v>19998</c:v>
                </c:pt>
                <c:pt idx="70">
                  <c:v>20029</c:v>
                </c:pt>
                <c:pt idx="71">
                  <c:v>20059</c:v>
                </c:pt>
                <c:pt idx="72">
                  <c:v>20090</c:v>
                </c:pt>
                <c:pt idx="73">
                  <c:v>20121</c:v>
                </c:pt>
                <c:pt idx="74">
                  <c:v>20149</c:v>
                </c:pt>
                <c:pt idx="75">
                  <c:v>20180</c:v>
                </c:pt>
                <c:pt idx="76">
                  <c:v>20210</c:v>
                </c:pt>
                <c:pt idx="77">
                  <c:v>20241</c:v>
                </c:pt>
                <c:pt idx="78">
                  <c:v>20271</c:v>
                </c:pt>
                <c:pt idx="79">
                  <c:v>20302</c:v>
                </c:pt>
                <c:pt idx="80">
                  <c:v>20333</c:v>
                </c:pt>
                <c:pt idx="81">
                  <c:v>20363</c:v>
                </c:pt>
                <c:pt idx="82">
                  <c:v>20394</c:v>
                </c:pt>
                <c:pt idx="83">
                  <c:v>20424</c:v>
                </c:pt>
                <c:pt idx="84">
                  <c:v>20455</c:v>
                </c:pt>
                <c:pt idx="85">
                  <c:v>20486</c:v>
                </c:pt>
                <c:pt idx="86">
                  <c:v>20515</c:v>
                </c:pt>
                <c:pt idx="87">
                  <c:v>20546</c:v>
                </c:pt>
                <c:pt idx="88">
                  <c:v>20576</c:v>
                </c:pt>
                <c:pt idx="89">
                  <c:v>20607</c:v>
                </c:pt>
                <c:pt idx="90">
                  <c:v>20637</c:v>
                </c:pt>
                <c:pt idx="91">
                  <c:v>20668</c:v>
                </c:pt>
                <c:pt idx="92">
                  <c:v>20699</c:v>
                </c:pt>
                <c:pt idx="93">
                  <c:v>20729</c:v>
                </c:pt>
                <c:pt idx="94">
                  <c:v>20760</c:v>
                </c:pt>
                <c:pt idx="95">
                  <c:v>20790</c:v>
                </c:pt>
                <c:pt idx="96">
                  <c:v>20821</c:v>
                </c:pt>
                <c:pt idx="97">
                  <c:v>20852</c:v>
                </c:pt>
                <c:pt idx="98">
                  <c:v>20880</c:v>
                </c:pt>
                <c:pt idx="99">
                  <c:v>20911</c:v>
                </c:pt>
                <c:pt idx="100">
                  <c:v>20941</c:v>
                </c:pt>
                <c:pt idx="101">
                  <c:v>20972</c:v>
                </c:pt>
                <c:pt idx="102">
                  <c:v>21002</c:v>
                </c:pt>
                <c:pt idx="103">
                  <c:v>21033</c:v>
                </c:pt>
                <c:pt idx="104">
                  <c:v>21064</c:v>
                </c:pt>
                <c:pt idx="105">
                  <c:v>21094</c:v>
                </c:pt>
                <c:pt idx="106">
                  <c:v>21125</c:v>
                </c:pt>
                <c:pt idx="107">
                  <c:v>21155</c:v>
                </c:pt>
              </c:numCache>
            </c:numRef>
          </c:cat>
          <c:val>
            <c:numRef>
              <c:f>'Holt-Winters (4)'!$B$10:$B$117</c:f>
              <c:numCache>
                <c:formatCode>General</c:formatCode>
                <c:ptCount val="108"/>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numCache>
            </c:numRef>
          </c:val>
          <c:smooth val="0"/>
          <c:extLst>
            <c:ext xmlns:c16="http://schemas.microsoft.com/office/drawing/2014/chart" uri="{C3380CC4-5D6E-409C-BE32-E72D297353CC}">
              <c16:uniqueId val="{00000000-089F-4282-8B6C-A89D60D9D8D7}"/>
            </c:ext>
          </c:extLst>
        </c:ser>
        <c:ser>
          <c:idx val="1"/>
          <c:order val="1"/>
          <c:tx>
            <c:strRef>
              <c:f>'Holt-Winters (4)'!$F$8</c:f>
              <c:strCache>
                <c:ptCount val="1"/>
                <c:pt idx="0">
                  <c:v>Model</c:v>
                </c:pt>
              </c:strCache>
            </c:strRef>
          </c:tx>
          <c:spPr>
            <a:ln w="28575" cap="rnd">
              <a:solidFill>
                <a:schemeClr val="accent2"/>
              </a:solidFill>
              <a:round/>
            </a:ln>
            <a:effectLst/>
          </c:spPr>
          <c:marker>
            <c:symbol val="none"/>
          </c:marker>
          <c:cat>
            <c:numRef>
              <c:f>'Holt-Winters (4)'!$A$10:$A$117</c:f>
              <c:numCache>
                <c:formatCode>m/d/yyyy</c:formatCode>
                <c:ptCount val="108"/>
                <c:pt idx="0">
                  <c:v>17899</c:v>
                </c:pt>
                <c:pt idx="1">
                  <c:v>17930</c:v>
                </c:pt>
                <c:pt idx="2">
                  <c:v>17958</c:v>
                </c:pt>
                <c:pt idx="3">
                  <c:v>17989</c:v>
                </c:pt>
                <c:pt idx="4">
                  <c:v>18019</c:v>
                </c:pt>
                <c:pt idx="5">
                  <c:v>18050</c:v>
                </c:pt>
                <c:pt idx="6">
                  <c:v>18080</c:v>
                </c:pt>
                <c:pt idx="7">
                  <c:v>18111</c:v>
                </c:pt>
                <c:pt idx="8">
                  <c:v>18142</c:v>
                </c:pt>
                <c:pt idx="9">
                  <c:v>18172</c:v>
                </c:pt>
                <c:pt idx="10">
                  <c:v>18203</c:v>
                </c:pt>
                <c:pt idx="11">
                  <c:v>18233</c:v>
                </c:pt>
                <c:pt idx="12">
                  <c:v>18264</c:v>
                </c:pt>
                <c:pt idx="13">
                  <c:v>18295</c:v>
                </c:pt>
                <c:pt idx="14">
                  <c:v>18323</c:v>
                </c:pt>
                <c:pt idx="15">
                  <c:v>18354</c:v>
                </c:pt>
                <c:pt idx="16">
                  <c:v>18384</c:v>
                </c:pt>
                <c:pt idx="17">
                  <c:v>18415</c:v>
                </c:pt>
                <c:pt idx="18">
                  <c:v>18445</c:v>
                </c:pt>
                <c:pt idx="19">
                  <c:v>18476</c:v>
                </c:pt>
                <c:pt idx="20">
                  <c:v>18507</c:v>
                </c:pt>
                <c:pt idx="21">
                  <c:v>18537</c:v>
                </c:pt>
                <c:pt idx="22">
                  <c:v>18568</c:v>
                </c:pt>
                <c:pt idx="23">
                  <c:v>18598</c:v>
                </c:pt>
                <c:pt idx="24">
                  <c:v>18629</c:v>
                </c:pt>
                <c:pt idx="25">
                  <c:v>18660</c:v>
                </c:pt>
                <c:pt idx="26">
                  <c:v>18688</c:v>
                </c:pt>
                <c:pt idx="27">
                  <c:v>18719</c:v>
                </c:pt>
                <c:pt idx="28">
                  <c:v>18749</c:v>
                </c:pt>
                <c:pt idx="29">
                  <c:v>18780</c:v>
                </c:pt>
                <c:pt idx="30">
                  <c:v>18810</c:v>
                </c:pt>
                <c:pt idx="31">
                  <c:v>18841</c:v>
                </c:pt>
                <c:pt idx="32">
                  <c:v>18872</c:v>
                </c:pt>
                <c:pt idx="33">
                  <c:v>18902</c:v>
                </c:pt>
                <c:pt idx="34">
                  <c:v>18933</c:v>
                </c:pt>
                <c:pt idx="35">
                  <c:v>18963</c:v>
                </c:pt>
                <c:pt idx="36">
                  <c:v>18994</c:v>
                </c:pt>
                <c:pt idx="37">
                  <c:v>19025</c:v>
                </c:pt>
                <c:pt idx="38">
                  <c:v>19054</c:v>
                </c:pt>
                <c:pt idx="39">
                  <c:v>19085</c:v>
                </c:pt>
                <c:pt idx="40">
                  <c:v>19115</c:v>
                </c:pt>
                <c:pt idx="41">
                  <c:v>19146</c:v>
                </c:pt>
                <c:pt idx="42">
                  <c:v>19176</c:v>
                </c:pt>
                <c:pt idx="43">
                  <c:v>19207</c:v>
                </c:pt>
                <c:pt idx="44">
                  <c:v>19238</c:v>
                </c:pt>
                <c:pt idx="45">
                  <c:v>19268</c:v>
                </c:pt>
                <c:pt idx="46">
                  <c:v>19299</c:v>
                </c:pt>
                <c:pt idx="47">
                  <c:v>19329</c:v>
                </c:pt>
                <c:pt idx="48">
                  <c:v>19360</c:v>
                </c:pt>
                <c:pt idx="49">
                  <c:v>19391</c:v>
                </c:pt>
                <c:pt idx="50">
                  <c:v>19419</c:v>
                </c:pt>
                <c:pt idx="51">
                  <c:v>19450</c:v>
                </c:pt>
                <c:pt idx="52">
                  <c:v>19480</c:v>
                </c:pt>
                <c:pt idx="53">
                  <c:v>19511</c:v>
                </c:pt>
                <c:pt idx="54">
                  <c:v>19541</c:v>
                </c:pt>
                <c:pt idx="55">
                  <c:v>19572</c:v>
                </c:pt>
                <c:pt idx="56">
                  <c:v>19603</c:v>
                </c:pt>
                <c:pt idx="57">
                  <c:v>19633</c:v>
                </c:pt>
                <c:pt idx="58">
                  <c:v>19664</c:v>
                </c:pt>
                <c:pt idx="59">
                  <c:v>19694</c:v>
                </c:pt>
                <c:pt idx="60">
                  <c:v>19725</c:v>
                </c:pt>
                <c:pt idx="61">
                  <c:v>19756</c:v>
                </c:pt>
                <c:pt idx="62">
                  <c:v>19784</c:v>
                </c:pt>
                <c:pt idx="63">
                  <c:v>19815</c:v>
                </c:pt>
                <c:pt idx="64">
                  <c:v>19845</c:v>
                </c:pt>
                <c:pt idx="65">
                  <c:v>19876</c:v>
                </c:pt>
                <c:pt idx="66">
                  <c:v>19906</c:v>
                </c:pt>
                <c:pt idx="67">
                  <c:v>19937</c:v>
                </c:pt>
                <c:pt idx="68">
                  <c:v>19968</c:v>
                </c:pt>
                <c:pt idx="69">
                  <c:v>19998</c:v>
                </c:pt>
                <c:pt idx="70">
                  <c:v>20029</c:v>
                </c:pt>
                <c:pt idx="71">
                  <c:v>20059</c:v>
                </c:pt>
                <c:pt idx="72">
                  <c:v>20090</c:v>
                </c:pt>
                <c:pt idx="73">
                  <c:v>20121</c:v>
                </c:pt>
                <c:pt idx="74">
                  <c:v>20149</c:v>
                </c:pt>
                <c:pt idx="75">
                  <c:v>20180</c:v>
                </c:pt>
                <c:pt idx="76">
                  <c:v>20210</c:v>
                </c:pt>
                <c:pt idx="77">
                  <c:v>20241</c:v>
                </c:pt>
                <c:pt idx="78">
                  <c:v>20271</c:v>
                </c:pt>
                <c:pt idx="79">
                  <c:v>20302</c:v>
                </c:pt>
                <c:pt idx="80">
                  <c:v>20333</c:v>
                </c:pt>
                <c:pt idx="81">
                  <c:v>20363</c:v>
                </c:pt>
                <c:pt idx="82">
                  <c:v>20394</c:v>
                </c:pt>
                <c:pt idx="83">
                  <c:v>20424</c:v>
                </c:pt>
                <c:pt idx="84">
                  <c:v>20455</c:v>
                </c:pt>
                <c:pt idx="85">
                  <c:v>20486</c:v>
                </c:pt>
                <c:pt idx="86">
                  <c:v>20515</c:v>
                </c:pt>
                <c:pt idx="87">
                  <c:v>20546</c:v>
                </c:pt>
                <c:pt idx="88">
                  <c:v>20576</c:v>
                </c:pt>
                <c:pt idx="89">
                  <c:v>20607</c:v>
                </c:pt>
                <c:pt idx="90">
                  <c:v>20637</c:v>
                </c:pt>
                <c:pt idx="91">
                  <c:v>20668</c:v>
                </c:pt>
                <c:pt idx="92">
                  <c:v>20699</c:v>
                </c:pt>
                <c:pt idx="93">
                  <c:v>20729</c:v>
                </c:pt>
                <c:pt idx="94">
                  <c:v>20760</c:v>
                </c:pt>
                <c:pt idx="95">
                  <c:v>20790</c:v>
                </c:pt>
                <c:pt idx="96">
                  <c:v>20821</c:v>
                </c:pt>
                <c:pt idx="97">
                  <c:v>20852</c:v>
                </c:pt>
                <c:pt idx="98">
                  <c:v>20880</c:v>
                </c:pt>
                <c:pt idx="99">
                  <c:v>20911</c:v>
                </c:pt>
                <c:pt idx="100">
                  <c:v>20941</c:v>
                </c:pt>
                <c:pt idx="101">
                  <c:v>20972</c:v>
                </c:pt>
                <c:pt idx="102">
                  <c:v>21002</c:v>
                </c:pt>
                <c:pt idx="103">
                  <c:v>21033</c:v>
                </c:pt>
                <c:pt idx="104">
                  <c:v>21064</c:v>
                </c:pt>
                <c:pt idx="105">
                  <c:v>21094</c:v>
                </c:pt>
                <c:pt idx="106">
                  <c:v>21125</c:v>
                </c:pt>
                <c:pt idx="107">
                  <c:v>21155</c:v>
                </c:pt>
              </c:numCache>
            </c:numRef>
          </c:cat>
          <c:val>
            <c:numRef>
              <c:f>'Holt-Winters (4)'!$F$10:$F$117</c:f>
              <c:numCache>
                <c:formatCode>_(* #,##0.00_);_(* \(#,##0.00\);_(* "-"??_);_(@_)</c:formatCode>
                <c:ptCount val="108"/>
                <c:pt idx="0">
                  <c:v>110.82809924151789</c:v>
                </c:pt>
                <c:pt idx="1">
                  <c:v>118.62112793586032</c:v>
                </c:pt>
                <c:pt idx="2">
                  <c:v>134.92493319323782</c:v>
                </c:pt>
                <c:pt idx="3">
                  <c:v>130.01278384534911</c:v>
                </c:pt>
                <c:pt idx="4">
                  <c:v>124.48640539463058</c:v>
                </c:pt>
                <c:pt idx="5">
                  <c:v>135.82985585489078</c:v>
                </c:pt>
                <c:pt idx="6">
                  <c:v>148.88118343484808</c:v>
                </c:pt>
                <c:pt idx="7">
                  <c:v>148.23526987334984</c:v>
                </c:pt>
                <c:pt idx="8">
                  <c:v>134.9125352414477</c:v>
                </c:pt>
                <c:pt idx="9">
                  <c:v>118.28551371095237</c:v>
                </c:pt>
                <c:pt idx="10">
                  <c:v>104.33454115893561</c:v>
                </c:pt>
                <c:pt idx="11">
                  <c:v>121.40574910841207</c:v>
                </c:pt>
                <c:pt idx="12">
                  <c:v>124.57827787864321</c:v>
                </c:pt>
                <c:pt idx="13">
                  <c:v>128.95635494533823</c:v>
                </c:pt>
                <c:pt idx="14">
                  <c:v>144.74429031111404</c:v>
                </c:pt>
                <c:pt idx="15">
                  <c:v>140.26415440043078</c:v>
                </c:pt>
                <c:pt idx="16">
                  <c:v>131.81192773936348</c:v>
                </c:pt>
                <c:pt idx="17">
                  <c:v>144.38287843426662</c:v>
                </c:pt>
                <c:pt idx="18">
                  <c:v>160.02551529265554</c:v>
                </c:pt>
                <c:pt idx="19">
                  <c:v>162.84289391064337</c:v>
                </c:pt>
                <c:pt idx="20">
                  <c:v>150.88121156717807</c:v>
                </c:pt>
                <c:pt idx="21">
                  <c:v>133.65408225828693</c:v>
                </c:pt>
                <c:pt idx="22">
                  <c:v>116.98452833932247</c:v>
                </c:pt>
                <c:pt idx="23">
                  <c:v>133.58961420585698</c:v>
                </c:pt>
                <c:pt idx="24">
                  <c:v>136.7262188930514</c:v>
                </c:pt>
                <c:pt idx="25">
                  <c:v>151.36743991275668</c:v>
                </c:pt>
                <c:pt idx="26">
                  <c:v>170.34008997611727</c:v>
                </c:pt>
                <c:pt idx="27">
                  <c:v>167.51337632964231</c:v>
                </c:pt>
                <c:pt idx="28">
                  <c:v>156.79083331406255</c:v>
                </c:pt>
                <c:pt idx="29">
                  <c:v>186.83382676721146</c:v>
                </c:pt>
                <c:pt idx="30">
                  <c:v>205.32048342834477</c:v>
                </c:pt>
                <c:pt idx="31">
                  <c:v>201.60196033654702</c:v>
                </c:pt>
                <c:pt idx="32">
                  <c:v>184.03166781912014</c:v>
                </c:pt>
                <c:pt idx="33">
                  <c:v>156.78747373192357</c:v>
                </c:pt>
                <c:pt idx="34">
                  <c:v>137.3471817732933</c:v>
                </c:pt>
                <c:pt idx="35">
                  <c:v>166.78797288948397</c:v>
                </c:pt>
                <c:pt idx="36">
                  <c:v>169.13627369655697</c:v>
                </c:pt>
                <c:pt idx="37">
                  <c:v>178.47867334918223</c:v>
                </c:pt>
                <c:pt idx="38">
                  <c:v>207.25467224316958</c:v>
                </c:pt>
                <c:pt idx="39">
                  <c:v>190.35350833571329</c:v>
                </c:pt>
                <c:pt idx="40">
                  <c:v>187.93039381685654</c:v>
                </c:pt>
                <c:pt idx="41">
                  <c:v>201.5219962320526</c:v>
                </c:pt>
                <c:pt idx="42">
                  <c:v>231.78835814762846</c:v>
                </c:pt>
                <c:pt idx="43">
                  <c:v>231.17221238096809</c:v>
                </c:pt>
                <c:pt idx="44">
                  <c:v>216.0530359136373</c:v>
                </c:pt>
                <c:pt idx="45">
                  <c:v>185.32426911552918</c:v>
                </c:pt>
                <c:pt idx="46">
                  <c:v>164.5556637865871</c:v>
                </c:pt>
                <c:pt idx="47">
                  <c:v>192.40184286761732</c:v>
                </c:pt>
                <c:pt idx="48">
                  <c:v>197.36829934288014</c:v>
                </c:pt>
                <c:pt idx="49">
                  <c:v>206.93474363888319</c:v>
                </c:pt>
                <c:pt idx="50">
                  <c:v>227.10169212304993</c:v>
                </c:pt>
                <c:pt idx="51">
                  <c:v>217.40721017794039</c:v>
                </c:pt>
                <c:pt idx="52">
                  <c:v>225.43683612015897</c:v>
                </c:pt>
                <c:pt idx="53">
                  <c:v>257.86611983630672</c:v>
                </c:pt>
                <c:pt idx="54">
                  <c:v>272.82387571146768</c:v>
                </c:pt>
                <c:pt idx="55">
                  <c:v>277.41264899390984</c:v>
                </c:pt>
                <c:pt idx="56">
                  <c:v>244.6332347650339</c:v>
                </c:pt>
                <c:pt idx="57">
                  <c:v>216.55774539423203</c:v>
                </c:pt>
                <c:pt idx="58">
                  <c:v>190.50926279771434</c:v>
                </c:pt>
                <c:pt idx="59">
                  <c:v>212.49501389707186</c:v>
                </c:pt>
                <c:pt idx="60">
                  <c:v>212.44211265496736</c:v>
                </c:pt>
                <c:pt idx="61">
                  <c:v>215.6208272271432</c:v>
                </c:pt>
                <c:pt idx="62">
                  <c:v>242.11486525515951</c:v>
                </c:pt>
                <c:pt idx="63">
                  <c:v>231.78344459514653</c:v>
                </c:pt>
                <c:pt idx="64">
                  <c:v>226.23586141209231</c:v>
                </c:pt>
                <c:pt idx="65">
                  <c:v>250.85246314035149</c:v>
                </c:pt>
                <c:pt idx="66">
                  <c:v>277.54039935883895</c:v>
                </c:pt>
                <c:pt idx="67">
                  <c:v>294.05142056892367</c:v>
                </c:pt>
                <c:pt idx="68">
                  <c:v>259.00309141366279</c:v>
                </c:pt>
                <c:pt idx="69">
                  <c:v>232.01445175193766</c:v>
                </c:pt>
                <c:pt idx="70">
                  <c:v>201.85796151952505</c:v>
                </c:pt>
                <c:pt idx="71">
                  <c:v>229.32071197941661</c:v>
                </c:pt>
                <c:pt idx="72">
                  <c:v>234.51642459303653</c:v>
                </c:pt>
                <c:pt idx="73">
                  <c:v>232.28186438216386</c:v>
                </c:pt>
                <c:pt idx="74">
                  <c:v>285.17690916312216</c:v>
                </c:pt>
                <c:pt idx="75">
                  <c:v>271.43775786138087</c:v>
                </c:pt>
                <c:pt idx="76">
                  <c:v>273.09232162436689</c:v>
                </c:pt>
                <c:pt idx="77">
                  <c:v>301.44262745121841</c:v>
                </c:pt>
                <c:pt idx="78">
                  <c:v>338.49445326541979</c:v>
                </c:pt>
                <c:pt idx="79">
                  <c:v>341.90742359950826</c:v>
                </c:pt>
                <c:pt idx="80">
                  <c:v>303.30376008650336</c:v>
                </c:pt>
                <c:pt idx="81">
                  <c:v>272.21675577947923</c:v>
                </c:pt>
                <c:pt idx="82">
                  <c:v>240.38044135365405</c:v>
                </c:pt>
                <c:pt idx="83">
                  <c:v>270.58370335742552</c:v>
                </c:pt>
                <c:pt idx="84">
                  <c:v>283.59900833271956</c:v>
                </c:pt>
                <c:pt idx="85">
                  <c:v>274.55072928089089</c:v>
                </c:pt>
                <c:pt idx="86">
                  <c:v>326.5765339197244</c:v>
                </c:pt>
                <c:pt idx="87">
                  <c:v>322.72706204704059</c:v>
                </c:pt>
                <c:pt idx="88">
                  <c:v>322.31999925808293</c:v>
                </c:pt>
                <c:pt idx="89">
                  <c:v>365.45099123669945</c:v>
                </c:pt>
                <c:pt idx="90">
                  <c:v>413.78266488588355</c:v>
                </c:pt>
                <c:pt idx="91">
                  <c:v>397.07213632385952</c:v>
                </c:pt>
                <c:pt idx="92">
                  <c:v>355.12622883150709</c:v>
                </c:pt>
                <c:pt idx="93">
                  <c:v>312.67583854117981</c:v>
                </c:pt>
                <c:pt idx="94">
                  <c:v>271.10994780503273</c:v>
                </c:pt>
                <c:pt idx="95">
                  <c:v>312.67392861653764</c:v>
                </c:pt>
                <c:pt idx="96">
                  <c:v>319.03823727581687</c:v>
                </c:pt>
                <c:pt idx="97">
                  <c:v>308.73028642854968</c:v>
                </c:pt>
                <c:pt idx="98">
                  <c:v>356.81885904992794</c:v>
                </c:pt>
                <c:pt idx="99">
                  <c:v>355.2613440452227</c:v>
                </c:pt>
                <c:pt idx="100">
                  <c:v>358.79092271309497</c:v>
                </c:pt>
                <c:pt idx="101">
                  <c:v>414.54499240350822</c:v>
                </c:pt>
                <c:pt idx="102">
                  <c:v>462.88349779934862</c:v>
                </c:pt>
                <c:pt idx="103">
                  <c:v>449.80623912741947</c:v>
                </c:pt>
                <c:pt idx="104">
                  <c:v>400.41466620590865</c:v>
                </c:pt>
                <c:pt idx="105">
                  <c:v>349.85875539763839</c:v>
                </c:pt>
                <c:pt idx="106">
                  <c:v>307.68438313938901</c:v>
                </c:pt>
                <c:pt idx="107">
                  <c:v>350.35674431240102</c:v>
                </c:pt>
              </c:numCache>
            </c:numRef>
          </c:val>
          <c:smooth val="0"/>
          <c:extLst>
            <c:ext xmlns:c16="http://schemas.microsoft.com/office/drawing/2014/chart" uri="{C3380CC4-5D6E-409C-BE32-E72D297353CC}">
              <c16:uniqueId val="{00000001-089F-4282-8B6C-A89D60D9D8D7}"/>
            </c:ext>
          </c:extLst>
        </c:ser>
        <c:dLbls>
          <c:showLegendKey val="0"/>
          <c:showVal val="0"/>
          <c:showCatName val="0"/>
          <c:showSerName val="0"/>
          <c:showPercent val="0"/>
          <c:showBubbleSize val="0"/>
        </c:dLbls>
        <c:smooth val="0"/>
        <c:axId val="1486141200"/>
        <c:axId val="1486139952"/>
      </c:lineChart>
      <c:dateAx>
        <c:axId val="1486141200"/>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39952"/>
        <c:crosses val="autoZero"/>
        <c:auto val="1"/>
        <c:lblOffset val="100"/>
        <c:baseTimeUnit val="months"/>
      </c:dateAx>
      <c:valAx>
        <c:axId val="148613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41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flight!$B$8</c:f>
              <c:strCache>
                <c:ptCount val="1"/>
                <c:pt idx="0">
                  <c:v>Thousands of Passengers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flight!$A$9:$A$117</c:f>
              <c:numCache>
                <c:formatCode>m/d/yyyy</c:formatCode>
                <c:ptCount val="109"/>
                <c:pt idx="1">
                  <c:v>17899</c:v>
                </c:pt>
                <c:pt idx="2">
                  <c:v>17930</c:v>
                </c:pt>
                <c:pt idx="3">
                  <c:v>17958</c:v>
                </c:pt>
                <c:pt idx="4">
                  <c:v>17989</c:v>
                </c:pt>
                <c:pt idx="5">
                  <c:v>18019</c:v>
                </c:pt>
                <c:pt idx="6">
                  <c:v>18050</c:v>
                </c:pt>
                <c:pt idx="7">
                  <c:v>18080</c:v>
                </c:pt>
                <c:pt idx="8">
                  <c:v>18111</c:v>
                </c:pt>
                <c:pt idx="9">
                  <c:v>18142</c:v>
                </c:pt>
                <c:pt idx="10">
                  <c:v>18172</c:v>
                </c:pt>
                <c:pt idx="11">
                  <c:v>18203</c:v>
                </c:pt>
                <c:pt idx="12">
                  <c:v>18233</c:v>
                </c:pt>
                <c:pt idx="13">
                  <c:v>18264</c:v>
                </c:pt>
                <c:pt idx="14">
                  <c:v>18295</c:v>
                </c:pt>
                <c:pt idx="15">
                  <c:v>18323</c:v>
                </c:pt>
                <c:pt idx="16">
                  <c:v>18354</c:v>
                </c:pt>
                <c:pt idx="17">
                  <c:v>18384</c:v>
                </c:pt>
                <c:pt idx="18">
                  <c:v>18415</c:v>
                </c:pt>
                <c:pt idx="19">
                  <c:v>18445</c:v>
                </c:pt>
                <c:pt idx="20">
                  <c:v>18476</c:v>
                </c:pt>
                <c:pt idx="21">
                  <c:v>18507</c:v>
                </c:pt>
                <c:pt idx="22">
                  <c:v>18537</c:v>
                </c:pt>
                <c:pt idx="23">
                  <c:v>18568</c:v>
                </c:pt>
                <c:pt idx="24">
                  <c:v>18598</c:v>
                </c:pt>
                <c:pt idx="25">
                  <c:v>18629</c:v>
                </c:pt>
                <c:pt idx="26">
                  <c:v>18660</c:v>
                </c:pt>
                <c:pt idx="27">
                  <c:v>18688</c:v>
                </c:pt>
                <c:pt idx="28">
                  <c:v>18719</c:v>
                </c:pt>
                <c:pt idx="29">
                  <c:v>18749</c:v>
                </c:pt>
                <c:pt idx="30">
                  <c:v>18780</c:v>
                </c:pt>
                <c:pt idx="31">
                  <c:v>18810</c:v>
                </c:pt>
                <c:pt idx="32">
                  <c:v>18841</c:v>
                </c:pt>
                <c:pt idx="33">
                  <c:v>18872</c:v>
                </c:pt>
                <c:pt idx="34">
                  <c:v>18902</c:v>
                </c:pt>
                <c:pt idx="35">
                  <c:v>18933</c:v>
                </c:pt>
                <c:pt idx="36">
                  <c:v>18963</c:v>
                </c:pt>
                <c:pt idx="37">
                  <c:v>18994</c:v>
                </c:pt>
                <c:pt idx="38">
                  <c:v>19025</c:v>
                </c:pt>
                <c:pt idx="39">
                  <c:v>19054</c:v>
                </c:pt>
                <c:pt idx="40">
                  <c:v>19085</c:v>
                </c:pt>
                <c:pt idx="41">
                  <c:v>19115</c:v>
                </c:pt>
                <c:pt idx="42">
                  <c:v>19146</c:v>
                </c:pt>
                <c:pt idx="43">
                  <c:v>19176</c:v>
                </c:pt>
                <c:pt idx="44">
                  <c:v>19207</c:v>
                </c:pt>
                <c:pt idx="45">
                  <c:v>19238</c:v>
                </c:pt>
                <c:pt idx="46">
                  <c:v>19268</c:v>
                </c:pt>
                <c:pt idx="47">
                  <c:v>19299</c:v>
                </c:pt>
                <c:pt idx="48">
                  <c:v>19329</c:v>
                </c:pt>
                <c:pt idx="49">
                  <c:v>19360</c:v>
                </c:pt>
                <c:pt idx="50">
                  <c:v>19391</c:v>
                </c:pt>
                <c:pt idx="51">
                  <c:v>19419</c:v>
                </c:pt>
                <c:pt idx="52">
                  <c:v>19450</c:v>
                </c:pt>
                <c:pt idx="53">
                  <c:v>19480</c:v>
                </c:pt>
                <c:pt idx="54">
                  <c:v>19511</c:v>
                </c:pt>
                <c:pt idx="55">
                  <c:v>19541</c:v>
                </c:pt>
                <c:pt idx="56">
                  <c:v>19572</c:v>
                </c:pt>
                <c:pt idx="57">
                  <c:v>19603</c:v>
                </c:pt>
                <c:pt idx="58">
                  <c:v>19633</c:v>
                </c:pt>
                <c:pt idx="59">
                  <c:v>19664</c:v>
                </c:pt>
                <c:pt idx="60">
                  <c:v>19694</c:v>
                </c:pt>
                <c:pt idx="61">
                  <c:v>19725</c:v>
                </c:pt>
                <c:pt idx="62">
                  <c:v>19756</c:v>
                </c:pt>
                <c:pt idx="63">
                  <c:v>19784</c:v>
                </c:pt>
                <c:pt idx="64">
                  <c:v>19815</c:v>
                </c:pt>
                <c:pt idx="65">
                  <c:v>19845</c:v>
                </c:pt>
                <c:pt idx="66">
                  <c:v>19876</c:v>
                </c:pt>
                <c:pt idx="67">
                  <c:v>19906</c:v>
                </c:pt>
                <c:pt idx="68">
                  <c:v>19937</c:v>
                </c:pt>
                <c:pt idx="69">
                  <c:v>19968</c:v>
                </c:pt>
                <c:pt idx="70">
                  <c:v>19998</c:v>
                </c:pt>
                <c:pt idx="71">
                  <c:v>20029</c:v>
                </c:pt>
                <c:pt idx="72">
                  <c:v>20059</c:v>
                </c:pt>
                <c:pt idx="73">
                  <c:v>20090</c:v>
                </c:pt>
                <c:pt idx="74">
                  <c:v>20121</c:v>
                </c:pt>
                <c:pt idx="75">
                  <c:v>20149</c:v>
                </c:pt>
                <c:pt idx="76">
                  <c:v>20180</c:v>
                </c:pt>
                <c:pt idx="77">
                  <c:v>20210</c:v>
                </c:pt>
                <c:pt idx="78">
                  <c:v>20241</c:v>
                </c:pt>
                <c:pt idx="79">
                  <c:v>20271</c:v>
                </c:pt>
                <c:pt idx="80">
                  <c:v>20302</c:v>
                </c:pt>
                <c:pt idx="81">
                  <c:v>20333</c:v>
                </c:pt>
                <c:pt idx="82">
                  <c:v>20363</c:v>
                </c:pt>
                <c:pt idx="83">
                  <c:v>20394</c:v>
                </c:pt>
                <c:pt idx="84">
                  <c:v>20424</c:v>
                </c:pt>
                <c:pt idx="85">
                  <c:v>20455</c:v>
                </c:pt>
                <c:pt idx="86">
                  <c:v>20486</c:v>
                </c:pt>
                <c:pt idx="87">
                  <c:v>20515</c:v>
                </c:pt>
                <c:pt idx="88">
                  <c:v>20546</c:v>
                </c:pt>
                <c:pt idx="89">
                  <c:v>20576</c:v>
                </c:pt>
                <c:pt idx="90">
                  <c:v>20607</c:v>
                </c:pt>
                <c:pt idx="91">
                  <c:v>20637</c:v>
                </c:pt>
                <c:pt idx="92">
                  <c:v>20668</c:v>
                </c:pt>
                <c:pt idx="93">
                  <c:v>20699</c:v>
                </c:pt>
                <c:pt idx="94">
                  <c:v>20729</c:v>
                </c:pt>
                <c:pt idx="95">
                  <c:v>20760</c:v>
                </c:pt>
                <c:pt idx="96">
                  <c:v>20790</c:v>
                </c:pt>
                <c:pt idx="97">
                  <c:v>20821</c:v>
                </c:pt>
                <c:pt idx="98">
                  <c:v>20852</c:v>
                </c:pt>
                <c:pt idx="99">
                  <c:v>20880</c:v>
                </c:pt>
                <c:pt idx="100">
                  <c:v>20911</c:v>
                </c:pt>
                <c:pt idx="101">
                  <c:v>20941</c:v>
                </c:pt>
                <c:pt idx="102">
                  <c:v>20972</c:v>
                </c:pt>
                <c:pt idx="103">
                  <c:v>21002</c:v>
                </c:pt>
                <c:pt idx="104">
                  <c:v>21033</c:v>
                </c:pt>
                <c:pt idx="105">
                  <c:v>21064</c:v>
                </c:pt>
                <c:pt idx="106">
                  <c:v>21094</c:v>
                </c:pt>
                <c:pt idx="107">
                  <c:v>21125</c:v>
                </c:pt>
                <c:pt idx="108">
                  <c:v>21155</c:v>
                </c:pt>
              </c:numCache>
            </c:numRef>
          </c:xVal>
          <c:yVal>
            <c:numRef>
              <c:f>flight!$B$9:$B$117</c:f>
              <c:numCache>
                <c:formatCode>General</c:formatCode>
                <c:ptCount val="109"/>
                <c:pt idx="1">
                  <c:v>112</c:v>
                </c:pt>
                <c:pt idx="2">
                  <c:v>118</c:v>
                </c:pt>
                <c:pt idx="3">
                  <c:v>132</c:v>
                </c:pt>
                <c:pt idx="4">
                  <c:v>129</c:v>
                </c:pt>
                <c:pt idx="5">
                  <c:v>121</c:v>
                </c:pt>
                <c:pt idx="6">
                  <c:v>135</c:v>
                </c:pt>
                <c:pt idx="7">
                  <c:v>148</c:v>
                </c:pt>
                <c:pt idx="8">
                  <c:v>148</c:v>
                </c:pt>
                <c:pt idx="9">
                  <c:v>136</c:v>
                </c:pt>
                <c:pt idx="10">
                  <c:v>119</c:v>
                </c:pt>
                <c:pt idx="11">
                  <c:v>104</c:v>
                </c:pt>
                <c:pt idx="12">
                  <c:v>118</c:v>
                </c:pt>
                <c:pt idx="13">
                  <c:v>115</c:v>
                </c:pt>
                <c:pt idx="14">
                  <c:v>126</c:v>
                </c:pt>
                <c:pt idx="15">
                  <c:v>141</c:v>
                </c:pt>
                <c:pt idx="16">
                  <c:v>135</c:v>
                </c:pt>
                <c:pt idx="17">
                  <c:v>125</c:v>
                </c:pt>
                <c:pt idx="18">
                  <c:v>149</c:v>
                </c:pt>
                <c:pt idx="19">
                  <c:v>170</c:v>
                </c:pt>
                <c:pt idx="20">
                  <c:v>170</c:v>
                </c:pt>
                <c:pt idx="21">
                  <c:v>158</c:v>
                </c:pt>
                <c:pt idx="22">
                  <c:v>133</c:v>
                </c:pt>
                <c:pt idx="23">
                  <c:v>114</c:v>
                </c:pt>
                <c:pt idx="24">
                  <c:v>140</c:v>
                </c:pt>
                <c:pt idx="25">
                  <c:v>145</c:v>
                </c:pt>
                <c:pt idx="26">
                  <c:v>150</c:v>
                </c:pt>
                <c:pt idx="27">
                  <c:v>178</c:v>
                </c:pt>
                <c:pt idx="28">
                  <c:v>163</c:v>
                </c:pt>
                <c:pt idx="29">
                  <c:v>172</c:v>
                </c:pt>
                <c:pt idx="30">
                  <c:v>178</c:v>
                </c:pt>
                <c:pt idx="31">
                  <c:v>199</c:v>
                </c:pt>
                <c:pt idx="32">
                  <c:v>199</c:v>
                </c:pt>
                <c:pt idx="33">
                  <c:v>184</c:v>
                </c:pt>
                <c:pt idx="34">
                  <c:v>162</c:v>
                </c:pt>
                <c:pt idx="35">
                  <c:v>146</c:v>
                </c:pt>
                <c:pt idx="36">
                  <c:v>166</c:v>
                </c:pt>
                <c:pt idx="37">
                  <c:v>171</c:v>
                </c:pt>
                <c:pt idx="38">
                  <c:v>180</c:v>
                </c:pt>
                <c:pt idx="39">
                  <c:v>193</c:v>
                </c:pt>
                <c:pt idx="40">
                  <c:v>181</c:v>
                </c:pt>
                <c:pt idx="41">
                  <c:v>183</c:v>
                </c:pt>
                <c:pt idx="42">
                  <c:v>218</c:v>
                </c:pt>
                <c:pt idx="43">
                  <c:v>230</c:v>
                </c:pt>
                <c:pt idx="44">
                  <c:v>242</c:v>
                </c:pt>
                <c:pt idx="45">
                  <c:v>209</c:v>
                </c:pt>
                <c:pt idx="46">
                  <c:v>191</c:v>
                </c:pt>
                <c:pt idx="47">
                  <c:v>172</c:v>
                </c:pt>
                <c:pt idx="48">
                  <c:v>194</c:v>
                </c:pt>
                <c:pt idx="49">
                  <c:v>196</c:v>
                </c:pt>
                <c:pt idx="50">
                  <c:v>196</c:v>
                </c:pt>
                <c:pt idx="51">
                  <c:v>236</c:v>
                </c:pt>
                <c:pt idx="52">
                  <c:v>235</c:v>
                </c:pt>
                <c:pt idx="53">
                  <c:v>229</c:v>
                </c:pt>
                <c:pt idx="54">
                  <c:v>243</c:v>
                </c:pt>
                <c:pt idx="55">
                  <c:v>264</c:v>
                </c:pt>
                <c:pt idx="56">
                  <c:v>272</c:v>
                </c:pt>
                <c:pt idx="57">
                  <c:v>237</c:v>
                </c:pt>
                <c:pt idx="58">
                  <c:v>211</c:v>
                </c:pt>
                <c:pt idx="59">
                  <c:v>180</c:v>
                </c:pt>
                <c:pt idx="60">
                  <c:v>201</c:v>
                </c:pt>
                <c:pt idx="61">
                  <c:v>204</c:v>
                </c:pt>
                <c:pt idx="62">
                  <c:v>188</c:v>
                </c:pt>
                <c:pt idx="63">
                  <c:v>235</c:v>
                </c:pt>
                <c:pt idx="64">
                  <c:v>227</c:v>
                </c:pt>
                <c:pt idx="65">
                  <c:v>234</c:v>
                </c:pt>
                <c:pt idx="66">
                  <c:v>264</c:v>
                </c:pt>
                <c:pt idx="67">
                  <c:v>302</c:v>
                </c:pt>
                <c:pt idx="68">
                  <c:v>293</c:v>
                </c:pt>
                <c:pt idx="69">
                  <c:v>259</c:v>
                </c:pt>
                <c:pt idx="70">
                  <c:v>229</c:v>
                </c:pt>
                <c:pt idx="71">
                  <c:v>203</c:v>
                </c:pt>
                <c:pt idx="72">
                  <c:v>229</c:v>
                </c:pt>
                <c:pt idx="73">
                  <c:v>242</c:v>
                </c:pt>
                <c:pt idx="74">
                  <c:v>233</c:v>
                </c:pt>
                <c:pt idx="75">
                  <c:v>267</c:v>
                </c:pt>
                <c:pt idx="76">
                  <c:v>269</c:v>
                </c:pt>
                <c:pt idx="77">
                  <c:v>270</c:v>
                </c:pt>
                <c:pt idx="78">
                  <c:v>315</c:v>
                </c:pt>
                <c:pt idx="79">
                  <c:v>364</c:v>
                </c:pt>
                <c:pt idx="80">
                  <c:v>347</c:v>
                </c:pt>
                <c:pt idx="81">
                  <c:v>312</c:v>
                </c:pt>
                <c:pt idx="82">
                  <c:v>274</c:v>
                </c:pt>
                <c:pt idx="83">
                  <c:v>237</c:v>
                </c:pt>
                <c:pt idx="84">
                  <c:v>278</c:v>
                </c:pt>
                <c:pt idx="85">
                  <c:v>284</c:v>
                </c:pt>
                <c:pt idx="86">
                  <c:v>277</c:v>
                </c:pt>
                <c:pt idx="87">
                  <c:v>317</c:v>
                </c:pt>
                <c:pt idx="88">
                  <c:v>313</c:v>
                </c:pt>
                <c:pt idx="89">
                  <c:v>318</c:v>
                </c:pt>
                <c:pt idx="90">
                  <c:v>374</c:v>
                </c:pt>
                <c:pt idx="91">
                  <c:v>413</c:v>
                </c:pt>
                <c:pt idx="92">
                  <c:v>405</c:v>
                </c:pt>
                <c:pt idx="93">
                  <c:v>355</c:v>
                </c:pt>
                <c:pt idx="94">
                  <c:v>306</c:v>
                </c:pt>
                <c:pt idx="95">
                  <c:v>271</c:v>
                </c:pt>
                <c:pt idx="96">
                  <c:v>306</c:v>
                </c:pt>
                <c:pt idx="97">
                  <c:v>315</c:v>
                </c:pt>
                <c:pt idx="98">
                  <c:v>301</c:v>
                </c:pt>
                <c:pt idx="99">
                  <c:v>356</c:v>
                </c:pt>
                <c:pt idx="100">
                  <c:v>348</c:v>
                </c:pt>
                <c:pt idx="101">
                  <c:v>355</c:v>
                </c:pt>
                <c:pt idx="102">
                  <c:v>422</c:v>
                </c:pt>
                <c:pt idx="103">
                  <c:v>465</c:v>
                </c:pt>
                <c:pt idx="104">
                  <c:v>467</c:v>
                </c:pt>
                <c:pt idx="105">
                  <c:v>404</c:v>
                </c:pt>
                <c:pt idx="106">
                  <c:v>347</c:v>
                </c:pt>
                <c:pt idx="107">
                  <c:v>305</c:v>
                </c:pt>
                <c:pt idx="108">
                  <c:v>336</c:v>
                </c:pt>
              </c:numCache>
            </c:numRef>
          </c:yVal>
          <c:smooth val="1"/>
          <c:extLst>
            <c:ext xmlns:c16="http://schemas.microsoft.com/office/drawing/2014/chart" uri="{C3380CC4-5D6E-409C-BE32-E72D297353CC}">
              <c16:uniqueId val="{00000000-A403-4C49-8E44-E8C9256D6142}"/>
            </c:ext>
          </c:extLst>
        </c:ser>
        <c:dLbls>
          <c:showLegendKey val="0"/>
          <c:showVal val="0"/>
          <c:showCatName val="0"/>
          <c:showSerName val="0"/>
          <c:showPercent val="0"/>
          <c:showBubbleSize val="0"/>
        </c:dLbls>
        <c:axId val="1154739344"/>
        <c:axId val="1154740176"/>
      </c:scatterChart>
      <c:valAx>
        <c:axId val="1154739344"/>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740176"/>
        <c:crosses val="autoZero"/>
        <c:crossBetween val="midCat"/>
      </c:valAx>
      <c:valAx>
        <c:axId val="115474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7393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Passengers vs Model with Forecast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Forecast!$B$8</c:f>
              <c:strCache>
                <c:ptCount val="1"/>
                <c:pt idx="0">
                  <c:v>Thousands of Passengers</c:v>
                </c:pt>
              </c:strCache>
            </c:strRef>
          </c:tx>
          <c:spPr>
            <a:ln w="28575" cap="rnd">
              <a:solidFill>
                <a:schemeClr val="accent1"/>
              </a:solidFill>
              <a:round/>
            </a:ln>
            <a:effectLst/>
          </c:spPr>
          <c:marker>
            <c:symbol val="none"/>
          </c:marker>
          <c:cat>
            <c:numRef>
              <c:f>Forecast!$A$10:$A$141</c:f>
              <c:numCache>
                <c:formatCode>m/d/yyyy</c:formatCode>
                <c:ptCount val="132"/>
                <c:pt idx="0">
                  <c:v>17899</c:v>
                </c:pt>
                <c:pt idx="1">
                  <c:v>17930</c:v>
                </c:pt>
                <c:pt idx="2">
                  <c:v>17958</c:v>
                </c:pt>
                <c:pt idx="3">
                  <c:v>17989</c:v>
                </c:pt>
                <c:pt idx="4">
                  <c:v>18019</c:v>
                </c:pt>
                <c:pt idx="5">
                  <c:v>18050</c:v>
                </c:pt>
                <c:pt idx="6">
                  <c:v>18080</c:v>
                </c:pt>
                <c:pt idx="7">
                  <c:v>18111</c:v>
                </c:pt>
                <c:pt idx="8">
                  <c:v>18142</c:v>
                </c:pt>
                <c:pt idx="9">
                  <c:v>18172</c:v>
                </c:pt>
                <c:pt idx="10">
                  <c:v>18203</c:v>
                </c:pt>
                <c:pt idx="11">
                  <c:v>18233</c:v>
                </c:pt>
                <c:pt idx="12">
                  <c:v>18264</c:v>
                </c:pt>
                <c:pt idx="13">
                  <c:v>18295</c:v>
                </c:pt>
                <c:pt idx="14">
                  <c:v>18323</c:v>
                </c:pt>
                <c:pt idx="15">
                  <c:v>18354</c:v>
                </c:pt>
                <c:pt idx="16">
                  <c:v>18384</c:v>
                </c:pt>
                <c:pt idx="17">
                  <c:v>18415</c:v>
                </c:pt>
                <c:pt idx="18">
                  <c:v>18445</c:v>
                </c:pt>
                <c:pt idx="19">
                  <c:v>18476</c:v>
                </c:pt>
                <c:pt idx="20">
                  <c:v>18507</c:v>
                </c:pt>
                <c:pt idx="21">
                  <c:v>18537</c:v>
                </c:pt>
                <c:pt idx="22">
                  <c:v>18568</c:v>
                </c:pt>
                <c:pt idx="23">
                  <c:v>18598</c:v>
                </c:pt>
                <c:pt idx="24">
                  <c:v>18629</c:v>
                </c:pt>
                <c:pt idx="25">
                  <c:v>18660</c:v>
                </c:pt>
                <c:pt idx="26">
                  <c:v>18688</c:v>
                </c:pt>
                <c:pt idx="27">
                  <c:v>18719</c:v>
                </c:pt>
                <c:pt idx="28">
                  <c:v>18749</c:v>
                </c:pt>
                <c:pt idx="29">
                  <c:v>18780</c:v>
                </c:pt>
                <c:pt idx="30">
                  <c:v>18810</c:v>
                </c:pt>
                <c:pt idx="31">
                  <c:v>18841</c:v>
                </c:pt>
                <c:pt idx="32">
                  <c:v>18872</c:v>
                </c:pt>
                <c:pt idx="33">
                  <c:v>18902</c:v>
                </c:pt>
                <c:pt idx="34">
                  <c:v>18933</c:v>
                </c:pt>
                <c:pt idx="35">
                  <c:v>18963</c:v>
                </c:pt>
                <c:pt idx="36">
                  <c:v>18994</c:v>
                </c:pt>
                <c:pt idx="37">
                  <c:v>19025</c:v>
                </c:pt>
                <c:pt idx="38">
                  <c:v>19054</c:v>
                </c:pt>
                <c:pt idx="39">
                  <c:v>19085</c:v>
                </c:pt>
                <c:pt idx="40">
                  <c:v>19115</c:v>
                </c:pt>
                <c:pt idx="41">
                  <c:v>19146</c:v>
                </c:pt>
                <c:pt idx="42">
                  <c:v>19176</c:v>
                </c:pt>
                <c:pt idx="43">
                  <c:v>19207</c:v>
                </c:pt>
                <c:pt idx="44">
                  <c:v>19238</c:v>
                </c:pt>
                <c:pt idx="45">
                  <c:v>19268</c:v>
                </c:pt>
                <c:pt idx="46">
                  <c:v>19299</c:v>
                </c:pt>
                <c:pt idx="47">
                  <c:v>19329</c:v>
                </c:pt>
                <c:pt idx="48">
                  <c:v>19360</c:v>
                </c:pt>
                <c:pt idx="49">
                  <c:v>19391</c:v>
                </c:pt>
                <c:pt idx="50">
                  <c:v>19419</c:v>
                </c:pt>
                <c:pt idx="51">
                  <c:v>19450</c:v>
                </c:pt>
                <c:pt idx="52">
                  <c:v>19480</c:v>
                </c:pt>
                <c:pt idx="53">
                  <c:v>19511</c:v>
                </c:pt>
                <c:pt idx="54">
                  <c:v>19541</c:v>
                </c:pt>
                <c:pt idx="55">
                  <c:v>19572</c:v>
                </c:pt>
                <c:pt idx="56">
                  <c:v>19603</c:v>
                </c:pt>
                <c:pt idx="57">
                  <c:v>19633</c:v>
                </c:pt>
                <c:pt idx="58">
                  <c:v>19664</c:v>
                </c:pt>
                <c:pt idx="59">
                  <c:v>19694</c:v>
                </c:pt>
                <c:pt idx="60">
                  <c:v>19725</c:v>
                </c:pt>
                <c:pt idx="61">
                  <c:v>19756</c:v>
                </c:pt>
                <c:pt idx="62">
                  <c:v>19784</c:v>
                </c:pt>
                <c:pt idx="63">
                  <c:v>19815</c:v>
                </c:pt>
                <c:pt idx="64">
                  <c:v>19845</c:v>
                </c:pt>
                <c:pt idx="65">
                  <c:v>19876</c:v>
                </c:pt>
                <c:pt idx="66">
                  <c:v>19906</c:v>
                </c:pt>
                <c:pt idx="67">
                  <c:v>19937</c:v>
                </c:pt>
                <c:pt idx="68">
                  <c:v>19968</c:v>
                </c:pt>
                <c:pt idx="69">
                  <c:v>19998</c:v>
                </c:pt>
                <c:pt idx="70">
                  <c:v>20029</c:v>
                </c:pt>
                <c:pt idx="71">
                  <c:v>20059</c:v>
                </c:pt>
                <c:pt idx="72">
                  <c:v>20090</c:v>
                </c:pt>
                <c:pt idx="73">
                  <c:v>20121</c:v>
                </c:pt>
                <c:pt idx="74">
                  <c:v>20149</c:v>
                </c:pt>
                <c:pt idx="75">
                  <c:v>20180</c:v>
                </c:pt>
                <c:pt idx="76">
                  <c:v>20210</c:v>
                </c:pt>
                <c:pt idx="77">
                  <c:v>20241</c:v>
                </c:pt>
                <c:pt idx="78">
                  <c:v>20271</c:v>
                </c:pt>
                <c:pt idx="79">
                  <c:v>20302</c:v>
                </c:pt>
                <c:pt idx="80">
                  <c:v>20333</c:v>
                </c:pt>
                <c:pt idx="81">
                  <c:v>20363</c:v>
                </c:pt>
                <c:pt idx="82">
                  <c:v>20394</c:v>
                </c:pt>
                <c:pt idx="83">
                  <c:v>20424</c:v>
                </c:pt>
                <c:pt idx="84">
                  <c:v>20455</c:v>
                </c:pt>
                <c:pt idx="85">
                  <c:v>20486</c:v>
                </c:pt>
                <c:pt idx="86">
                  <c:v>20515</c:v>
                </c:pt>
                <c:pt idx="87">
                  <c:v>20546</c:v>
                </c:pt>
                <c:pt idx="88">
                  <c:v>20576</c:v>
                </c:pt>
                <c:pt idx="89">
                  <c:v>20607</c:v>
                </c:pt>
                <c:pt idx="90">
                  <c:v>20637</c:v>
                </c:pt>
                <c:pt idx="91">
                  <c:v>20668</c:v>
                </c:pt>
                <c:pt idx="92">
                  <c:v>20699</c:v>
                </c:pt>
                <c:pt idx="93">
                  <c:v>20729</c:v>
                </c:pt>
                <c:pt idx="94">
                  <c:v>20760</c:v>
                </c:pt>
                <c:pt idx="95">
                  <c:v>20790</c:v>
                </c:pt>
                <c:pt idx="96">
                  <c:v>20821</c:v>
                </c:pt>
                <c:pt idx="97">
                  <c:v>20852</c:v>
                </c:pt>
                <c:pt idx="98">
                  <c:v>20880</c:v>
                </c:pt>
                <c:pt idx="99">
                  <c:v>20911</c:v>
                </c:pt>
                <c:pt idx="100">
                  <c:v>20941</c:v>
                </c:pt>
                <c:pt idx="101">
                  <c:v>20972</c:v>
                </c:pt>
                <c:pt idx="102">
                  <c:v>21002</c:v>
                </c:pt>
                <c:pt idx="103">
                  <c:v>21033</c:v>
                </c:pt>
                <c:pt idx="104">
                  <c:v>21064</c:v>
                </c:pt>
                <c:pt idx="105">
                  <c:v>21094</c:v>
                </c:pt>
                <c:pt idx="106">
                  <c:v>21125</c:v>
                </c:pt>
                <c:pt idx="107">
                  <c:v>21155</c:v>
                </c:pt>
                <c:pt idx="108">
                  <c:v>21186</c:v>
                </c:pt>
                <c:pt idx="109">
                  <c:v>21217</c:v>
                </c:pt>
                <c:pt idx="110">
                  <c:v>21245</c:v>
                </c:pt>
                <c:pt idx="111">
                  <c:v>21276</c:v>
                </c:pt>
                <c:pt idx="112">
                  <c:v>21306</c:v>
                </c:pt>
                <c:pt idx="113">
                  <c:v>21337</c:v>
                </c:pt>
                <c:pt idx="114">
                  <c:v>21367</c:v>
                </c:pt>
                <c:pt idx="115">
                  <c:v>21398</c:v>
                </c:pt>
                <c:pt idx="116">
                  <c:v>21429</c:v>
                </c:pt>
                <c:pt idx="117">
                  <c:v>21459</c:v>
                </c:pt>
                <c:pt idx="118">
                  <c:v>21490</c:v>
                </c:pt>
                <c:pt idx="119">
                  <c:v>21520</c:v>
                </c:pt>
                <c:pt idx="120">
                  <c:v>21551</c:v>
                </c:pt>
                <c:pt idx="121">
                  <c:v>21582</c:v>
                </c:pt>
                <c:pt idx="122">
                  <c:v>21610</c:v>
                </c:pt>
                <c:pt idx="123">
                  <c:v>21641</c:v>
                </c:pt>
                <c:pt idx="124">
                  <c:v>21671</c:v>
                </c:pt>
                <c:pt idx="125">
                  <c:v>21702</c:v>
                </c:pt>
                <c:pt idx="126">
                  <c:v>21732</c:v>
                </c:pt>
                <c:pt idx="127">
                  <c:v>21763</c:v>
                </c:pt>
                <c:pt idx="128">
                  <c:v>21794</c:v>
                </c:pt>
                <c:pt idx="129">
                  <c:v>21824</c:v>
                </c:pt>
                <c:pt idx="130">
                  <c:v>21855</c:v>
                </c:pt>
                <c:pt idx="131">
                  <c:v>21885</c:v>
                </c:pt>
              </c:numCache>
            </c:numRef>
          </c:cat>
          <c:val>
            <c:numRef>
              <c:f>Forecast!$B$10:$B$117</c:f>
              <c:numCache>
                <c:formatCode>General</c:formatCode>
                <c:ptCount val="108"/>
                <c:pt idx="0">
                  <c:v>112</c:v>
                </c:pt>
                <c:pt idx="1">
                  <c:v>118</c:v>
                </c:pt>
                <c:pt idx="2">
                  <c:v>132</c:v>
                </c:pt>
                <c:pt idx="3">
                  <c:v>129</c:v>
                </c:pt>
                <c:pt idx="4">
                  <c:v>121</c:v>
                </c:pt>
                <c:pt idx="5">
                  <c:v>135</c:v>
                </c:pt>
                <c:pt idx="6">
                  <c:v>148</c:v>
                </c:pt>
                <c:pt idx="7">
                  <c:v>148</c:v>
                </c:pt>
                <c:pt idx="8">
                  <c:v>136</c:v>
                </c:pt>
                <c:pt idx="9">
                  <c:v>119</c:v>
                </c:pt>
                <c:pt idx="10">
                  <c:v>104</c:v>
                </c:pt>
                <c:pt idx="11">
                  <c:v>118</c:v>
                </c:pt>
                <c:pt idx="12">
                  <c:v>115</c:v>
                </c:pt>
                <c:pt idx="13">
                  <c:v>126</c:v>
                </c:pt>
                <c:pt idx="14">
                  <c:v>141</c:v>
                </c:pt>
                <c:pt idx="15">
                  <c:v>135</c:v>
                </c:pt>
                <c:pt idx="16">
                  <c:v>125</c:v>
                </c:pt>
                <c:pt idx="17">
                  <c:v>149</c:v>
                </c:pt>
                <c:pt idx="18">
                  <c:v>170</c:v>
                </c:pt>
                <c:pt idx="19">
                  <c:v>170</c:v>
                </c:pt>
                <c:pt idx="20">
                  <c:v>158</c:v>
                </c:pt>
                <c:pt idx="21">
                  <c:v>133</c:v>
                </c:pt>
                <c:pt idx="22">
                  <c:v>114</c:v>
                </c:pt>
                <c:pt idx="23">
                  <c:v>140</c:v>
                </c:pt>
                <c:pt idx="24">
                  <c:v>145</c:v>
                </c:pt>
                <c:pt idx="25">
                  <c:v>150</c:v>
                </c:pt>
                <c:pt idx="26">
                  <c:v>178</c:v>
                </c:pt>
                <c:pt idx="27">
                  <c:v>163</c:v>
                </c:pt>
                <c:pt idx="28">
                  <c:v>172</c:v>
                </c:pt>
                <c:pt idx="29">
                  <c:v>178</c:v>
                </c:pt>
                <c:pt idx="30">
                  <c:v>199</c:v>
                </c:pt>
                <c:pt idx="31">
                  <c:v>199</c:v>
                </c:pt>
                <c:pt idx="32">
                  <c:v>184</c:v>
                </c:pt>
                <c:pt idx="33">
                  <c:v>162</c:v>
                </c:pt>
                <c:pt idx="34">
                  <c:v>146</c:v>
                </c:pt>
                <c:pt idx="35">
                  <c:v>166</c:v>
                </c:pt>
                <c:pt idx="36">
                  <c:v>171</c:v>
                </c:pt>
                <c:pt idx="37">
                  <c:v>180</c:v>
                </c:pt>
                <c:pt idx="38">
                  <c:v>193</c:v>
                </c:pt>
                <c:pt idx="39">
                  <c:v>181</c:v>
                </c:pt>
                <c:pt idx="40">
                  <c:v>183</c:v>
                </c:pt>
                <c:pt idx="41">
                  <c:v>218</c:v>
                </c:pt>
                <c:pt idx="42">
                  <c:v>230</c:v>
                </c:pt>
                <c:pt idx="43">
                  <c:v>242</c:v>
                </c:pt>
                <c:pt idx="44">
                  <c:v>209</c:v>
                </c:pt>
                <c:pt idx="45">
                  <c:v>191</c:v>
                </c:pt>
                <c:pt idx="46">
                  <c:v>172</c:v>
                </c:pt>
                <c:pt idx="47">
                  <c:v>194</c:v>
                </c:pt>
                <c:pt idx="48">
                  <c:v>196</c:v>
                </c:pt>
                <c:pt idx="49">
                  <c:v>196</c:v>
                </c:pt>
                <c:pt idx="50">
                  <c:v>236</c:v>
                </c:pt>
                <c:pt idx="51">
                  <c:v>235</c:v>
                </c:pt>
                <c:pt idx="52">
                  <c:v>229</c:v>
                </c:pt>
                <c:pt idx="53">
                  <c:v>243</c:v>
                </c:pt>
                <c:pt idx="54">
                  <c:v>264</c:v>
                </c:pt>
                <c:pt idx="55">
                  <c:v>272</c:v>
                </c:pt>
                <c:pt idx="56">
                  <c:v>237</c:v>
                </c:pt>
                <c:pt idx="57">
                  <c:v>211</c:v>
                </c:pt>
                <c:pt idx="58">
                  <c:v>180</c:v>
                </c:pt>
                <c:pt idx="59">
                  <c:v>201</c:v>
                </c:pt>
                <c:pt idx="60">
                  <c:v>204</c:v>
                </c:pt>
                <c:pt idx="61">
                  <c:v>188</c:v>
                </c:pt>
                <c:pt idx="62">
                  <c:v>235</c:v>
                </c:pt>
                <c:pt idx="63">
                  <c:v>227</c:v>
                </c:pt>
                <c:pt idx="64">
                  <c:v>234</c:v>
                </c:pt>
                <c:pt idx="65">
                  <c:v>264</c:v>
                </c:pt>
                <c:pt idx="66">
                  <c:v>302</c:v>
                </c:pt>
                <c:pt idx="67">
                  <c:v>293</c:v>
                </c:pt>
                <c:pt idx="68">
                  <c:v>259</c:v>
                </c:pt>
                <c:pt idx="69">
                  <c:v>229</c:v>
                </c:pt>
                <c:pt idx="70">
                  <c:v>203</c:v>
                </c:pt>
                <c:pt idx="71">
                  <c:v>229</c:v>
                </c:pt>
                <c:pt idx="72">
                  <c:v>242</c:v>
                </c:pt>
                <c:pt idx="73">
                  <c:v>233</c:v>
                </c:pt>
                <c:pt idx="74">
                  <c:v>267</c:v>
                </c:pt>
                <c:pt idx="75">
                  <c:v>269</c:v>
                </c:pt>
                <c:pt idx="76">
                  <c:v>270</c:v>
                </c:pt>
                <c:pt idx="77">
                  <c:v>315</c:v>
                </c:pt>
                <c:pt idx="78">
                  <c:v>364</c:v>
                </c:pt>
                <c:pt idx="79">
                  <c:v>347</c:v>
                </c:pt>
                <c:pt idx="80">
                  <c:v>312</c:v>
                </c:pt>
                <c:pt idx="81">
                  <c:v>274</c:v>
                </c:pt>
                <c:pt idx="82">
                  <c:v>237</c:v>
                </c:pt>
                <c:pt idx="83">
                  <c:v>278</c:v>
                </c:pt>
                <c:pt idx="84">
                  <c:v>284</c:v>
                </c:pt>
                <c:pt idx="85">
                  <c:v>277</c:v>
                </c:pt>
                <c:pt idx="86">
                  <c:v>317</c:v>
                </c:pt>
                <c:pt idx="87">
                  <c:v>313</c:v>
                </c:pt>
                <c:pt idx="88">
                  <c:v>318</c:v>
                </c:pt>
                <c:pt idx="89">
                  <c:v>374</c:v>
                </c:pt>
                <c:pt idx="90">
                  <c:v>413</c:v>
                </c:pt>
                <c:pt idx="91">
                  <c:v>405</c:v>
                </c:pt>
                <c:pt idx="92">
                  <c:v>355</c:v>
                </c:pt>
                <c:pt idx="93">
                  <c:v>306</c:v>
                </c:pt>
                <c:pt idx="94">
                  <c:v>271</c:v>
                </c:pt>
                <c:pt idx="95">
                  <c:v>306</c:v>
                </c:pt>
                <c:pt idx="96">
                  <c:v>315</c:v>
                </c:pt>
                <c:pt idx="97">
                  <c:v>301</c:v>
                </c:pt>
                <c:pt idx="98">
                  <c:v>356</c:v>
                </c:pt>
                <c:pt idx="99">
                  <c:v>348</c:v>
                </c:pt>
                <c:pt idx="100">
                  <c:v>355</c:v>
                </c:pt>
                <c:pt idx="101">
                  <c:v>422</c:v>
                </c:pt>
                <c:pt idx="102">
                  <c:v>465</c:v>
                </c:pt>
                <c:pt idx="103">
                  <c:v>467</c:v>
                </c:pt>
                <c:pt idx="104">
                  <c:v>404</c:v>
                </c:pt>
                <c:pt idx="105">
                  <c:v>347</c:v>
                </c:pt>
                <c:pt idx="106">
                  <c:v>305</c:v>
                </c:pt>
                <c:pt idx="107">
                  <c:v>336</c:v>
                </c:pt>
              </c:numCache>
            </c:numRef>
          </c:val>
          <c:smooth val="0"/>
          <c:extLst>
            <c:ext xmlns:c16="http://schemas.microsoft.com/office/drawing/2014/chart" uri="{C3380CC4-5D6E-409C-BE32-E72D297353CC}">
              <c16:uniqueId val="{00000000-95A1-4BFC-8DAC-600DBDEF215F}"/>
            </c:ext>
          </c:extLst>
        </c:ser>
        <c:ser>
          <c:idx val="1"/>
          <c:order val="1"/>
          <c:tx>
            <c:strRef>
              <c:f>Forecast!$F$8</c:f>
              <c:strCache>
                <c:ptCount val="1"/>
                <c:pt idx="0">
                  <c:v>Model</c:v>
                </c:pt>
              </c:strCache>
            </c:strRef>
          </c:tx>
          <c:spPr>
            <a:ln w="28575" cap="rnd">
              <a:solidFill>
                <a:schemeClr val="accent2"/>
              </a:solidFill>
              <a:round/>
            </a:ln>
            <a:effectLst/>
          </c:spPr>
          <c:marker>
            <c:symbol val="none"/>
          </c:marker>
          <c:cat>
            <c:numRef>
              <c:f>Forecast!$A$10:$A$141</c:f>
              <c:numCache>
                <c:formatCode>m/d/yyyy</c:formatCode>
                <c:ptCount val="132"/>
                <c:pt idx="0">
                  <c:v>17899</c:v>
                </c:pt>
                <c:pt idx="1">
                  <c:v>17930</c:v>
                </c:pt>
                <c:pt idx="2">
                  <c:v>17958</c:v>
                </c:pt>
                <c:pt idx="3">
                  <c:v>17989</c:v>
                </c:pt>
                <c:pt idx="4">
                  <c:v>18019</c:v>
                </c:pt>
                <c:pt idx="5">
                  <c:v>18050</c:v>
                </c:pt>
                <c:pt idx="6">
                  <c:v>18080</c:v>
                </c:pt>
                <c:pt idx="7">
                  <c:v>18111</c:v>
                </c:pt>
                <c:pt idx="8">
                  <c:v>18142</c:v>
                </c:pt>
                <c:pt idx="9">
                  <c:v>18172</c:v>
                </c:pt>
                <c:pt idx="10">
                  <c:v>18203</c:v>
                </c:pt>
                <c:pt idx="11">
                  <c:v>18233</c:v>
                </c:pt>
                <c:pt idx="12">
                  <c:v>18264</c:v>
                </c:pt>
                <c:pt idx="13">
                  <c:v>18295</c:v>
                </c:pt>
                <c:pt idx="14">
                  <c:v>18323</c:v>
                </c:pt>
                <c:pt idx="15">
                  <c:v>18354</c:v>
                </c:pt>
                <c:pt idx="16">
                  <c:v>18384</c:v>
                </c:pt>
                <c:pt idx="17">
                  <c:v>18415</c:v>
                </c:pt>
                <c:pt idx="18">
                  <c:v>18445</c:v>
                </c:pt>
                <c:pt idx="19">
                  <c:v>18476</c:v>
                </c:pt>
                <c:pt idx="20">
                  <c:v>18507</c:v>
                </c:pt>
                <c:pt idx="21">
                  <c:v>18537</c:v>
                </c:pt>
                <c:pt idx="22">
                  <c:v>18568</c:v>
                </c:pt>
                <c:pt idx="23">
                  <c:v>18598</c:v>
                </c:pt>
                <c:pt idx="24">
                  <c:v>18629</c:v>
                </c:pt>
                <c:pt idx="25">
                  <c:v>18660</c:v>
                </c:pt>
                <c:pt idx="26">
                  <c:v>18688</c:v>
                </c:pt>
                <c:pt idx="27">
                  <c:v>18719</c:v>
                </c:pt>
                <c:pt idx="28">
                  <c:v>18749</c:v>
                </c:pt>
                <c:pt idx="29">
                  <c:v>18780</c:v>
                </c:pt>
                <c:pt idx="30">
                  <c:v>18810</c:v>
                </c:pt>
                <c:pt idx="31">
                  <c:v>18841</c:v>
                </c:pt>
                <c:pt idx="32">
                  <c:v>18872</c:v>
                </c:pt>
                <c:pt idx="33">
                  <c:v>18902</c:v>
                </c:pt>
                <c:pt idx="34">
                  <c:v>18933</c:v>
                </c:pt>
                <c:pt idx="35">
                  <c:v>18963</c:v>
                </c:pt>
                <c:pt idx="36">
                  <c:v>18994</c:v>
                </c:pt>
                <c:pt idx="37">
                  <c:v>19025</c:v>
                </c:pt>
                <c:pt idx="38">
                  <c:v>19054</c:v>
                </c:pt>
                <c:pt idx="39">
                  <c:v>19085</c:v>
                </c:pt>
                <c:pt idx="40">
                  <c:v>19115</c:v>
                </c:pt>
                <c:pt idx="41">
                  <c:v>19146</c:v>
                </c:pt>
                <c:pt idx="42">
                  <c:v>19176</c:v>
                </c:pt>
                <c:pt idx="43">
                  <c:v>19207</c:v>
                </c:pt>
                <c:pt idx="44">
                  <c:v>19238</c:v>
                </c:pt>
                <c:pt idx="45">
                  <c:v>19268</c:v>
                </c:pt>
                <c:pt idx="46">
                  <c:v>19299</c:v>
                </c:pt>
                <c:pt idx="47">
                  <c:v>19329</c:v>
                </c:pt>
                <c:pt idx="48">
                  <c:v>19360</c:v>
                </c:pt>
                <c:pt idx="49">
                  <c:v>19391</c:v>
                </c:pt>
                <c:pt idx="50">
                  <c:v>19419</c:v>
                </c:pt>
                <c:pt idx="51">
                  <c:v>19450</c:v>
                </c:pt>
                <c:pt idx="52">
                  <c:v>19480</c:v>
                </c:pt>
                <c:pt idx="53">
                  <c:v>19511</c:v>
                </c:pt>
                <c:pt idx="54">
                  <c:v>19541</c:v>
                </c:pt>
                <c:pt idx="55">
                  <c:v>19572</c:v>
                </c:pt>
                <c:pt idx="56">
                  <c:v>19603</c:v>
                </c:pt>
                <c:pt idx="57">
                  <c:v>19633</c:v>
                </c:pt>
                <c:pt idx="58">
                  <c:v>19664</c:v>
                </c:pt>
                <c:pt idx="59">
                  <c:v>19694</c:v>
                </c:pt>
                <c:pt idx="60">
                  <c:v>19725</c:v>
                </c:pt>
                <c:pt idx="61">
                  <c:v>19756</c:v>
                </c:pt>
                <c:pt idx="62">
                  <c:v>19784</c:v>
                </c:pt>
                <c:pt idx="63">
                  <c:v>19815</c:v>
                </c:pt>
                <c:pt idx="64">
                  <c:v>19845</c:v>
                </c:pt>
                <c:pt idx="65">
                  <c:v>19876</c:v>
                </c:pt>
                <c:pt idx="66">
                  <c:v>19906</c:v>
                </c:pt>
                <c:pt idx="67">
                  <c:v>19937</c:v>
                </c:pt>
                <c:pt idx="68">
                  <c:v>19968</c:v>
                </c:pt>
                <c:pt idx="69">
                  <c:v>19998</c:v>
                </c:pt>
                <c:pt idx="70">
                  <c:v>20029</c:v>
                </c:pt>
                <c:pt idx="71">
                  <c:v>20059</c:v>
                </c:pt>
                <c:pt idx="72">
                  <c:v>20090</c:v>
                </c:pt>
                <c:pt idx="73">
                  <c:v>20121</c:v>
                </c:pt>
                <c:pt idx="74">
                  <c:v>20149</c:v>
                </c:pt>
                <c:pt idx="75">
                  <c:v>20180</c:v>
                </c:pt>
                <c:pt idx="76">
                  <c:v>20210</c:v>
                </c:pt>
                <c:pt idx="77">
                  <c:v>20241</c:v>
                </c:pt>
                <c:pt idx="78">
                  <c:v>20271</c:v>
                </c:pt>
                <c:pt idx="79">
                  <c:v>20302</c:v>
                </c:pt>
                <c:pt idx="80">
                  <c:v>20333</c:v>
                </c:pt>
                <c:pt idx="81">
                  <c:v>20363</c:v>
                </c:pt>
                <c:pt idx="82">
                  <c:v>20394</c:v>
                </c:pt>
                <c:pt idx="83">
                  <c:v>20424</c:v>
                </c:pt>
                <c:pt idx="84">
                  <c:v>20455</c:v>
                </c:pt>
                <c:pt idx="85">
                  <c:v>20486</c:v>
                </c:pt>
                <c:pt idx="86">
                  <c:v>20515</c:v>
                </c:pt>
                <c:pt idx="87">
                  <c:v>20546</c:v>
                </c:pt>
                <c:pt idx="88">
                  <c:v>20576</c:v>
                </c:pt>
                <c:pt idx="89">
                  <c:v>20607</c:v>
                </c:pt>
                <c:pt idx="90">
                  <c:v>20637</c:v>
                </c:pt>
                <c:pt idx="91">
                  <c:v>20668</c:v>
                </c:pt>
                <c:pt idx="92">
                  <c:v>20699</c:v>
                </c:pt>
                <c:pt idx="93">
                  <c:v>20729</c:v>
                </c:pt>
                <c:pt idx="94">
                  <c:v>20760</c:v>
                </c:pt>
                <c:pt idx="95">
                  <c:v>20790</c:v>
                </c:pt>
                <c:pt idx="96">
                  <c:v>20821</c:v>
                </c:pt>
                <c:pt idx="97">
                  <c:v>20852</c:v>
                </c:pt>
                <c:pt idx="98">
                  <c:v>20880</c:v>
                </c:pt>
                <c:pt idx="99">
                  <c:v>20911</c:v>
                </c:pt>
                <c:pt idx="100">
                  <c:v>20941</c:v>
                </c:pt>
                <c:pt idx="101">
                  <c:v>20972</c:v>
                </c:pt>
                <c:pt idx="102">
                  <c:v>21002</c:v>
                </c:pt>
                <c:pt idx="103">
                  <c:v>21033</c:v>
                </c:pt>
                <c:pt idx="104">
                  <c:v>21064</c:v>
                </c:pt>
                <c:pt idx="105">
                  <c:v>21094</c:v>
                </c:pt>
                <c:pt idx="106">
                  <c:v>21125</c:v>
                </c:pt>
                <c:pt idx="107">
                  <c:v>21155</c:v>
                </c:pt>
                <c:pt idx="108">
                  <c:v>21186</c:v>
                </c:pt>
                <c:pt idx="109">
                  <c:v>21217</c:v>
                </c:pt>
                <c:pt idx="110">
                  <c:v>21245</c:v>
                </c:pt>
                <c:pt idx="111">
                  <c:v>21276</c:v>
                </c:pt>
                <c:pt idx="112">
                  <c:v>21306</c:v>
                </c:pt>
                <c:pt idx="113">
                  <c:v>21337</c:v>
                </c:pt>
                <c:pt idx="114">
                  <c:v>21367</c:v>
                </c:pt>
                <c:pt idx="115">
                  <c:v>21398</c:v>
                </c:pt>
                <c:pt idx="116">
                  <c:v>21429</c:v>
                </c:pt>
                <c:pt idx="117">
                  <c:v>21459</c:v>
                </c:pt>
                <c:pt idx="118">
                  <c:v>21490</c:v>
                </c:pt>
                <c:pt idx="119">
                  <c:v>21520</c:v>
                </c:pt>
                <c:pt idx="120">
                  <c:v>21551</c:v>
                </c:pt>
                <c:pt idx="121">
                  <c:v>21582</c:v>
                </c:pt>
                <c:pt idx="122">
                  <c:v>21610</c:v>
                </c:pt>
                <c:pt idx="123">
                  <c:v>21641</c:v>
                </c:pt>
                <c:pt idx="124">
                  <c:v>21671</c:v>
                </c:pt>
                <c:pt idx="125">
                  <c:v>21702</c:v>
                </c:pt>
                <c:pt idx="126">
                  <c:v>21732</c:v>
                </c:pt>
                <c:pt idx="127">
                  <c:v>21763</c:v>
                </c:pt>
                <c:pt idx="128">
                  <c:v>21794</c:v>
                </c:pt>
                <c:pt idx="129">
                  <c:v>21824</c:v>
                </c:pt>
                <c:pt idx="130">
                  <c:v>21855</c:v>
                </c:pt>
                <c:pt idx="131">
                  <c:v>21885</c:v>
                </c:pt>
              </c:numCache>
            </c:numRef>
          </c:cat>
          <c:val>
            <c:numRef>
              <c:f>Forecast!$F$10:$F$141</c:f>
              <c:numCache>
                <c:formatCode>_(* #,##0.00_);_(* \(#,##0.00\);_(* "-"??_);_(@_)</c:formatCode>
                <c:ptCount val="132"/>
                <c:pt idx="0">
                  <c:v>113.18893571581201</c:v>
                </c:pt>
                <c:pt idx="1">
                  <c:v>110.97368561136638</c:v>
                </c:pt>
                <c:pt idx="2">
                  <c:v>136.56957498382053</c:v>
                </c:pt>
                <c:pt idx="3">
                  <c:v>130.85744857469149</c:v>
                </c:pt>
                <c:pt idx="4">
                  <c:v>131.36966507632727</c:v>
                </c:pt>
                <c:pt idx="5">
                  <c:v>143.1911970847855</c:v>
                </c:pt>
                <c:pt idx="6">
                  <c:v>153.57282557483296</c:v>
                </c:pt>
                <c:pt idx="7">
                  <c:v>149.49854317483531</c:v>
                </c:pt>
                <c:pt idx="8">
                  <c:v>131.97574489609843</c:v>
                </c:pt>
                <c:pt idx="9">
                  <c:v>118.89813232706584</c:v>
                </c:pt>
                <c:pt idx="10">
                  <c:v>105.30800054527535</c:v>
                </c:pt>
                <c:pt idx="11">
                  <c:v>118.95914700578788</c:v>
                </c:pt>
                <c:pt idx="12">
                  <c:v>122.31393420649944</c:v>
                </c:pt>
                <c:pt idx="13">
                  <c:v>115.17659475075943</c:v>
                </c:pt>
                <c:pt idx="14">
                  <c:v>144.8399661607356</c:v>
                </c:pt>
                <c:pt idx="15">
                  <c:v>139.40783807447522</c:v>
                </c:pt>
                <c:pt idx="16">
                  <c:v>137.90965981383263</c:v>
                </c:pt>
                <c:pt idx="17">
                  <c:v>148.38474988979692</c:v>
                </c:pt>
                <c:pt idx="18">
                  <c:v>166.89555179167814</c:v>
                </c:pt>
                <c:pt idx="19">
                  <c:v>169.27954707548344</c:v>
                </c:pt>
                <c:pt idx="20">
                  <c:v>150.77091718075928</c:v>
                </c:pt>
                <c:pt idx="21">
                  <c:v>137.31388630234076</c:v>
                </c:pt>
                <c:pt idx="22">
                  <c:v>118.31950935299336</c:v>
                </c:pt>
                <c:pt idx="23">
                  <c:v>130.90400837184865</c:v>
                </c:pt>
                <c:pt idx="24">
                  <c:v>142.47075636868303</c:v>
                </c:pt>
                <c:pt idx="25">
                  <c:v>142.22035033326966</c:v>
                </c:pt>
                <c:pt idx="26">
                  <c:v>173.26430274524162</c:v>
                </c:pt>
                <c:pt idx="27">
                  <c:v>173.38836957195031</c:v>
                </c:pt>
                <c:pt idx="28">
                  <c:v>167.14645757509501</c:v>
                </c:pt>
                <c:pt idx="29">
                  <c:v>197.61198230400453</c:v>
                </c:pt>
                <c:pt idx="30">
                  <c:v>203.70046998153404</c:v>
                </c:pt>
                <c:pt idx="31">
                  <c:v>199.46393699530205</c:v>
                </c:pt>
                <c:pt idx="32">
                  <c:v>176.32586776255309</c:v>
                </c:pt>
                <c:pt idx="33">
                  <c:v>159.7054193842209</c:v>
                </c:pt>
                <c:pt idx="34">
                  <c:v>142.29583168513477</c:v>
                </c:pt>
                <c:pt idx="35">
                  <c:v>164.82762866228668</c:v>
                </c:pt>
                <c:pt idx="36">
                  <c:v>170.66773744422625</c:v>
                </c:pt>
                <c:pt idx="37">
                  <c:v>167.91951199520045</c:v>
                </c:pt>
                <c:pt idx="38">
                  <c:v>206.76586621496963</c:v>
                </c:pt>
                <c:pt idx="39">
                  <c:v>191.77997917556795</c:v>
                </c:pt>
                <c:pt idx="40">
                  <c:v>185.1932525040358</c:v>
                </c:pt>
                <c:pt idx="41">
                  <c:v>211.90956851839715</c:v>
                </c:pt>
                <c:pt idx="42">
                  <c:v>241.63587760059843</c:v>
                </c:pt>
                <c:pt idx="43">
                  <c:v>231.4293732130773</c:v>
                </c:pt>
                <c:pt idx="44">
                  <c:v>211.79148509203239</c:v>
                </c:pt>
                <c:pt idx="45">
                  <c:v>183.28071240432905</c:v>
                </c:pt>
                <c:pt idx="46">
                  <c:v>166.49575848420432</c:v>
                </c:pt>
                <c:pt idx="47">
                  <c:v>193.53958069264195</c:v>
                </c:pt>
                <c:pt idx="48">
                  <c:v>199.30604920690297</c:v>
                </c:pt>
                <c:pt idx="49">
                  <c:v>192.95186564707765</c:v>
                </c:pt>
                <c:pt idx="50">
                  <c:v>227.46835733986708</c:v>
                </c:pt>
                <c:pt idx="51">
                  <c:v>228.68114744800161</c:v>
                </c:pt>
                <c:pt idx="52">
                  <c:v>235.37362713822597</c:v>
                </c:pt>
                <c:pt idx="53">
                  <c:v>265.43324899500419</c:v>
                </c:pt>
                <c:pt idx="54">
                  <c:v>276.01785970843014</c:v>
                </c:pt>
                <c:pt idx="55">
                  <c:v>264.94540525650319</c:v>
                </c:pt>
                <c:pt idx="56">
                  <c:v>238.66217087655565</c:v>
                </c:pt>
                <c:pt idx="57">
                  <c:v>207.27264530683075</c:v>
                </c:pt>
                <c:pt idx="58">
                  <c:v>184.64609681732671</c:v>
                </c:pt>
                <c:pt idx="59">
                  <c:v>204.98026119554802</c:v>
                </c:pt>
                <c:pt idx="60">
                  <c:v>207.40723942994325</c:v>
                </c:pt>
                <c:pt idx="61">
                  <c:v>200.73814024823253</c:v>
                </c:pt>
                <c:pt idx="62">
                  <c:v>222.19892156414329</c:v>
                </c:pt>
                <c:pt idx="63">
                  <c:v>226.81743909453959</c:v>
                </c:pt>
                <c:pt idx="64">
                  <c:v>228.72031741320043</c:v>
                </c:pt>
                <c:pt idx="65">
                  <c:v>268.25082498367959</c:v>
                </c:pt>
                <c:pt idx="66">
                  <c:v>294.8116883236051</c:v>
                </c:pt>
                <c:pt idx="67">
                  <c:v>298.21179471473857</c:v>
                </c:pt>
                <c:pt idx="68">
                  <c:v>259.33154148725134</c:v>
                </c:pt>
                <c:pt idx="69">
                  <c:v>226.04022992429742</c:v>
                </c:pt>
                <c:pt idx="70">
                  <c:v>200.44774811922264</c:v>
                </c:pt>
                <c:pt idx="71">
                  <c:v>229.01436651642521</c:v>
                </c:pt>
                <c:pt idx="72">
                  <c:v>235.01223295032773</c:v>
                </c:pt>
                <c:pt idx="73">
                  <c:v>235.4305241857185</c:v>
                </c:pt>
                <c:pt idx="74">
                  <c:v>271.4860000511481</c:v>
                </c:pt>
                <c:pt idx="75">
                  <c:v>261.39415630641804</c:v>
                </c:pt>
                <c:pt idx="76">
                  <c:v>269.02282009744209</c:v>
                </c:pt>
                <c:pt idx="77">
                  <c:v>310.39437488985146</c:v>
                </c:pt>
                <c:pt idx="78">
                  <c:v>348.90333443237159</c:v>
                </c:pt>
                <c:pt idx="79">
                  <c:v>357.49166095274694</c:v>
                </c:pt>
                <c:pt idx="80">
                  <c:v>307.49979823046249</c:v>
                </c:pt>
                <c:pt idx="81">
                  <c:v>270.94778382394486</c:v>
                </c:pt>
                <c:pt idx="82">
                  <c:v>239.5719346987193</c:v>
                </c:pt>
                <c:pt idx="83">
                  <c:v>268.38152146005535</c:v>
                </c:pt>
                <c:pt idx="84">
                  <c:v>282.7262022894393</c:v>
                </c:pt>
                <c:pt idx="85">
                  <c:v>277.40090295711906</c:v>
                </c:pt>
                <c:pt idx="86">
                  <c:v>321.69250108411319</c:v>
                </c:pt>
                <c:pt idx="87">
                  <c:v>309.79095382516954</c:v>
                </c:pt>
                <c:pt idx="88">
                  <c:v>313.88257407750518</c:v>
                </c:pt>
                <c:pt idx="89">
                  <c:v>364.38612789570135</c:v>
                </c:pt>
                <c:pt idx="90">
                  <c:v>412.73356227818851</c:v>
                </c:pt>
                <c:pt idx="91">
                  <c:v>408.84365520362388</c:v>
                </c:pt>
                <c:pt idx="92">
                  <c:v>356.89935276107002</c:v>
                </c:pt>
                <c:pt idx="93">
                  <c:v>309.31945245686552</c:v>
                </c:pt>
                <c:pt idx="94">
                  <c:v>268.60956253746303</c:v>
                </c:pt>
                <c:pt idx="95">
                  <c:v>305.292826145253</c:v>
                </c:pt>
                <c:pt idx="96">
                  <c:v>313.17571933510862</c:v>
                </c:pt>
                <c:pt idx="97">
                  <c:v>307.37403261896526</c:v>
                </c:pt>
                <c:pt idx="98">
                  <c:v>350.85007532313625</c:v>
                </c:pt>
                <c:pt idx="99">
                  <c:v>345.43958512615205</c:v>
                </c:pt>
                <c:pt idx="100">
                  <c:v>348.9491128960118</c:v>
                </c:pt>
                <c:pt idx="101">
                  <c:v>406.12548249231099</c:v>
                </c:pt>
                <c:pt idx="102">
                  <c:v>464.13997254265394</c:v>
                </c:pt>
                <c:pt idx="103">
                  <c:v>459.85194673057407</c:v>
                </c:pt>
                <c:pt idx="104">
                  <c:v>408.96880625635407</c:v>
                </c:pt>
                <c:pt idx="105">
                  <c:v>352.25254036914828</c:v>
                </c:pt>
                <c:pt idx="106">
                  <c:v>304.63710147789641</c:v>
                </c:pt>
                <c:pt idx="107">
                  <c:v>343.90601701648433</c:v>
                </c:pt>
                <c:pt idx="108" formatCode="General">
                  <c:v>351.88917953208937</c:v>
                </c:pt>
                <c:pt idx="109" formatCode="General">
                  <c:v>343.5638702065491</c:v>
                </c:pt>
                <c:pt idx="110" formatCode="General">
                  <c:v>398.31386015375313</c:v>
                </c:pt>
                <c:pt idx="111" formatCode="General">
                  <c:v>387.44154463542469</c:v>
                </c:pt>
                <c:pt idx="112" formatCode="General">
                  <c:v>388.86209747435248</c:v>
                </c:pt>
                <c:pt idx="113" formatCode="General">
                  <c:v>446.26284078435037</c:v>
                </c:pt>
                <c:pt idx="114" formatCode="General">
                  <c:v>494.68180882286691</c:v>
                </c:pt>
                <c:pt idx="115" formatCode="General">
                  <c:v>489.22370253371287</c:v>
                </c:pt>
                <c:pt idx="116" formatCode="General">
                  <c:v>429.73615969668759</c:v>
                </c:pt>
                <c:pt idx="117" formatCode="General">
                  <c:v>373.56678856485968</c:v>
                </c:pt>
                <c:pt idx="118" formatCode="General">
                  <c:v>326.75310701666689</c:v>
                </c:pt>
                <c:pt idx="119" formatCode="General">
                  <c:v>368.38314615733958</c:v>
                </c:pt>
                <c:pt idx="120" formatCode="General">
                  <c:v>376.78682952219361</c:v>
                </c:pt>
                <c:pt idx="121" formatCode="General">
                  <c:v>367.72998140318452</c:v>
                </c:pt>
                <c:pt idx="122" formatCode="General">
                  <c:v>426.16778903554092</c:v>
                </c:pt>
                <c:pt idx="123" formatCode="General">
                  <c:v>414.37820435640066</c:v>
                </c:pt>
                <c:pt idx="124" formatCode="General">
                  <c:v>415.74178737996618</c:v>
                </c:pt>
                <c:pt idx="125" formatCode="General">
                  <c:v>476.93362380166224</c:v>
                </c:pt>
                <c:pt idx="126" formatCode="General">
                  <c:v>528.48672178693812</c:v>
                </c:pt>
                <c:pt idx="127" formatCode="General">
                  <c:v>522.46631912235205</c:v>
                </c:pt>
                <c:pt idx="128" formatCode="General">
                  <c:v>458.77219813828049</c:v>
                </c:pt>
                <c:pt idx="129" formatCode="General">
                  <c:v>398.66629872105563</c:v>
                </c:pt>
                <c:pt idx="130" formatCode="General">
                  <c:v>348.58502296346614</c:v>
                </c:pt>
                <c:pt idx="131" formatCode="General">
                  <c:v>392.86027529819484</c:v>
                </c:pt>
              </c:numCache>
            </c:numRef>
          </c:val>
          <c:smooth val="0"/>
          <c:extLst>
            <c:ext xmlns:c16="http://schemas.microsoft.com/office/drawing/2014/chart" uri="{C3380CC4-5D6E-409C-BE32-E72D297353CC}">
              <c16:uniqueId val="{00000001-95A1-4BFC-8DAC-600DBDEF215F}"/>
            </c:ext>
          </c:extLst>
        </c:ser>
        <c:dLbls>
          <c:showLegendKey val="0"/>
          <c:showVal val="0"/>
          <c:showCatName val="0"/>
          <c:showSerName val="0"/>
          <c:showPercent val="0"/>
          <c:showBubbleSize val="0"/>
        </c:dLbls>
        <c:smooth val="0"/>
        <c:axId val="1486141200"/>
        <c:axId val="1486139952"/>
      </c:lineChart>
      <c:dateAx>
        <c:axId val="1486141200"/>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39952"/>
        <c:crosses val="autoZero"/>
        <c:auto val="1"/>
        <c:lblOffset val="100"/>
        <c:baseTimeUnit val="months"/>
      </c:dateAx>
      <c:valAx>
        <c:axId val="148613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41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501650</xdr:colOff>
      <xdr:row>24</xdr:row>
      <xdr:rowOff>93662</xdr:rowOff>
    </xdr:from>
    <xdr:to>
      <xdr:col>14</xdr:col>
      <xdr:colOff>196850</xdr:colOff>
      <xdr:row>39</xdr:row>
      <xdr:rowOff>131762</xdr:rowOff>
    </xdr:to>
    <xdr:graphicFrame macro="">
      <xdr:nvGraphicFramePr>
        <xdr:cNvPr id="2" name="Chart 1">
          <a:extLst>
            <a:ext uri="{FF2B5EF4-FFF2-40B4-BE49-F238E27FC236}">
              <a16:creationId xmlns:a16="http://schemas.microsoft.com/office/drawing/2014/main" id="{A199566D-BC75-4AFE-9ED3-2E553E51B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4</xdr:row>
      <xdr:rowOff>171450</xdr:rowOff>
    </xdr:from>
    <xdr:to>
      <xdr:col>4</xdr:col>
      <xdr:colOff>161925</xdr:colOff>
      <xdr:row>9</xdr:row>
      <xdr:rowOff>0</xdr:rowOff>
    </xdr:to>
    <xdr:cxnSp macro="">
      <xdr:nvCxnSpPr>
        <xdr:cNvPr id="3" name="Straight Arrow Connector 2">
          <a:extLst>
            <a:ext uri="{FF2B5EF4-FFF2-40B4-BE49-F238E27FC236}">
              <a16:creationId xmlns:a16="http://schemas.microsoft.com/office/drawing/2014/main" id="{5B1249B2-93D5-445F-B07F-3F7307437FEB}"/>
            </a:ext>
          </a:extLst>
        </xdr:cNvPr>
        <xdr:cNvCxnSpPr/>
      </xdr:nvCxnSpPr>
      <xdr:spPr>
        <a:xfrm flipH="1">
          <a:off x="3914775" y="895350"/>
          <a:ext cx="771525" cy="742950"/>
        </a:xfrm>
        <a:prstGeom prst="straightConnector1">
          <a:avLst/>
        </a:prstGeom>
        <a:ln>
          <a:solidFill>
            <a:schemeClr val="accent4">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358775</xdr:colOff>
      <xdr:row>25</xdr:row>
      <xdr:rowOff>106362</xdr:rowOff>
    </xdr:from>
    <xdr:to>
      <xdr:col>13</xdr:col>
      <xdr:colOff>196850</xdr:colOff>
      <xdr:row>40</xdr:row>
      <xdr:rowOff>134937</xdr:rowOff>
    </xdr:to>
    <xdr:graphicFrame macro="">
      <xdr:nvGraphicFramePr>
        <xdr:cNvPr id="4" name="Chart 3">
          <a:extLst>
            <a:ext uri="{FF2B5EF4-FFF2-40B4-BE49-F238E27FC236}">
              <a16:creationId xmlns:a16="http://schemas.microsoft.com/office/drawing/2014/main" id="{A62948BC-FAFB-4D6C-A7FD-06FA3B92C8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352425</xdr:colOff>
      <xdr:row>24</xdr:row>
      <xdr:rowOff>161925</xdr:rowOff>
    </xdr:from>
    <xdr:to>
      <xdr:col>13</xdr:col>
      <xdr:colOff>190500</xdr:colOff>
      <xdr:row>40</xdr:row>
      <xdr:rowOff>9525</xdr:rowOff>
    </xdr:to>
    <xdr:graphicFrame macro="">
      <xdr:nvGraphicFramePr>
        <xdr:cNvPr id="2" name="Chart 1">
          <a:extLst>
            <a:ext uri="{FF2B5EF4-FFF2-40B4-BE49-F238E27FC236}">
              <a16:creationId xmlns:a16="http://schemas.microsoft.com/office/drawing/2014/main" id="{913CC619-996B-4CA4-86CD-FD907C045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361950</xdr:colOff>
      <xdr:row>25</xdr:row>
      <xdr:rowOff>104775</xdr:rowOff>
    </xdr:from>
    <xdr:to>
      <xdr:col>13</xdr:col>
      <xdr:colOff>196850</xdr:colOff>
      <xdr:row>40</xdr:row>
      <xdr:rowOff>133350</xdr:rowOff>
    </xdr:to>
    <xdr:graphicFrame macro="">
      <xdr:nvGraphicFramePr>
        <xdr:cNvPr id="2" name="Chart 1">
          <a:extLst>
            <a:ext uri="{FF2B5EF4-FFF2-40B4-BE49-F238E27FC236}">
              <a16:creationId xmlns:a16="http://schemas.microsoft.com/office/drawing/2014/main" id="{10F82061-ACC5-4AF3-BFB8-220931FF4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361950</xdr:colOff>
      <xdr:row>25</xdr:row>
      <xdr:rowOff>104775</xdr:rowOff>
    </xdr:from>
    <xdr:to>
      <xdr:col>13</xdr:col>
      <xdr:colOff>196850</xdr:colOff>
      <xdr:row>40</xdr:row>
      <xdr:rowOff>133350</xdr:rowOff>
    </xdr:to>
    <xdr:graphicFrame macro="">
      <xdr:nvGraphicFramePr>
        <xdr:cNvPr id="2" name="Chart 1">
          <a:extLst>
            <a:ext uri="{FF2B5EF4-FFF2-40B4-BE49-F238E27FC236}">
              <a16:creationId xmlns:a16="http://schemas.microsoft.com/office/drawing/2014/main" id="{62074D44-6A14-467D-9A7C-035A7F767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581025</xdr:colOff>
      <xdr:row>25</xdr:row>
      <xdr:rowOff>0</xdr:rowOff>
    </xdr:from>
    <xdr:to>
      <xdr:col>13</xdr:col>
      <xdr:colOff>28575</xdr:colOff>
      <xdr:row>40</xdr:row>
      <xdr:rowOff>28575</xdr:rowOff>
    </xdr:to>
    <xdr:graphicFrame macro="">
      <xdr:nvGraphicFramePr>
        <xdr:cNvPr id="2" name="Chart 1">
          <a:extLst>
            <a:ext uri="{FF2B5EF4-FFF2-40B4-BE49-F238E27FC236}">
              <a16:creationId xmlns:a16="http://schemas.microsoft.com/office/drawing/2014/main" id="{05C67E8B-455F-4124-8279-6E6A06675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581025</xdr:colOff>
      <xdr:row>25</xdr:row>
      <xdr:rowOff>0</xdr:rowOff>
    </xdr:from>
    <xdr:to>
      <xdr:col>13</xdr:col>
      <xdr:colOff>28575</xdr:colOff>
      <xdr:row>40</xdr:row>
      <xdr:rowOff>28575</xdr:rowOff>
    </xdr:to>
    <xdr:graphicFrame macro="">
      <xdr:nvGraphicFramePr>
        <xdr:cNvPr id="2" name="Chart 1">
          <a:extLst>
            <a:ext uri="{FF2B5EF4-FFF2-40B4-BE49-F238E27FC236}">
              <a16:creationId xmlns:a16="http://schemas.microsoft.com/office/drawing/2014/main" id="{DAD0D8BB-7944-4116-A5A2-BB265D86B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1139825</xdr:colOff>
      <xdr:row>4</xdr:row>
      <xdr:rowOff>190499</xdr:rowOff>
    </xdr:from>
    <xdr:to>
      <xdr:col>19</xdr:col>
      <xdr:colOff>47625</xdr:colOff>
      <xdr:row>27</xdr:row>
      <xdr:rowOff>66674</xdr:rowOff>
    </xdr:to>
    <xdr:graphicFrame macro="">
      <xdr:nvGraphicFramePr>
        <xdr:cNvPr id="2" name="Chart 1">
          <a:extLst>
            <a:ext uri="{FF2B5EF4-FFF2-40B4-BE49-F238E27FC236}">
              <a16:creationId xmlns:a16="http://schemas.microsoft.com/office/drawing/2014/main" id="{052616D5-B8D2-4320-8EE3-4EFA1F894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581025</xdr:colOff>
      <xdr:row>25</xdr:row>
      <xdr:rowOff>0</xdr:rowOff>
    </xdr:from>
    <xdr:to>
      <xdr:col>13</xdr:col>
      <xdr:colOff>28575</xdr:colOff>
      <xdr:row>40</xdr:row>
      <xdr:rowOff>28575</xdr:rowOff>
    </xdr:to>
    <xdr:graphicFrame macro="">
      <xdr:nvGraphicFramePr>
        <xdr:cNvPr id="2" name="Chart 1">
          <a:extLst>
            <a:ext uri="{FF2B5EF4-FFF2-40B4-BE49-F238E27FC236}">
              <a16:creationId xmlns:a16="http://schemas.microsoft.com/office/drawing/2014/main" id="{6A44D814-8E97-4BC2-8974-4FEB6E6F4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57150</xdr:colOff>
      <xdr:row>8</xdr:row>
      <xdr:rowOff>161925</xdr:rowOff>
    </xdr:from>
    <xdr:to>
      <xdr:col>20</xdr:col>
      <xdr:colOff>552450</xdr:colOff>
      <xdr:row>13</xdr:row>
      <xdr:rowOff>749300</xdr:rowOff>
    </xdr:to>
    <xdr:graphicFrame macro="">
      <xdr:nvGraphicFramePr>
        <xdr:cNvPr id="2" name="Chart 1">
          <a:extLst>
            <a:ext uri="{FF2B5EF4-FFF2-40B4-BE49-F238E27FC236}">
              <a16:creationId xmlns:a16="http://schemas.microsoft.com/office/drawing/2014/main" id="{AD510512-65A6-48E3-9D94-886A21A11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7</xdr:col>
      <xdr:colOff>577850</xdr:colOff>
      <xdr:row>25</xdr:row>
      <xdr:rowOff>0</xdr:rowOff>
    </xdr:from>
    <xdr:to>
      <xdr:col>18</xdr:col>
      <xdr:colOff>0</xdr:colOff>
      <xdr:row>46</xdr:row>
      <xdr:rowOff>95250</xdr:rowOff>
    </xdr:to>
    <xdr:graphicFrame macro="">
      <xdr:nvGraphicFramePr>
        <xdr:cNvPr id="2" name="Chart 1">
          <a:extLst>
            <a:ext uri="{FF2B5EF4-FFF2-40B4-BE49-F238E27FC236}">
              <a16:creationId xmlns:a16="http://schemas.microsoft.com/office/drawing/2014/main" id="{029697F8-D7FD-473F-A2BB-761BE56D9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sheetPr>
  <dimension ref="A1:O117"/>
  <sheetViews>
    <sheetView workbookViewId="0">
      <selection activeCell="B3" sqref="B3"/>
    </sheetView>
  </sheetViews>
  <sheetFormatPr defaultRowHeight="14.5" x14ac:dyDescent="0.35"/>
  <cols>
    <col min="1" max="1" width="11.7265625" style="6" customWidth="1"/>
    <col min="2" max="2" width="22.36328125" style="6" bestFit="1" customWidth="1"/>
    <col min="3" max="16384" width="8.7265625" style="6"/>
  </cols>
  <sheetData>
    <row r="1" spans="1:15" x14ac:dyDescent="0.35">
      <c r="I1" s="8"/>
    </row>
    <row r="2" spans="1:15" x14ac:dyDescent="0.35">
      <c r="E2" s="7"/>
    </row>
    <row r="3" spans="1:15" x14ac:dyDescent="0.35">
      <c r="E3" s="7"/>
    </row>
    <row r="4" spans="1:15" x14ac:dyDescent="0.35">
      <c r="E4" s="7"/>
    </row>
    <row r="8" spans="1:15" x14ac:dyDescent="0.35">
      <c r="A8" s="5" t="s">
        <v>2</v>
      </c>
      <c r="B8" s="5" t="s">
        <v>3</v>
      </c>
      <c r="M8" s="7"/>
    </row>
    <row r="9" spans="1:15" x14ac:dyDescent="0.35">
      <c r="A9" s="5"/>
      <c r="B9" s="5"/>
    </row>
    <row r="10" spans="1:15" x14ac:dyDescent="0.35">
      <c r="A10" s="11">
        <v>17899</v>
      </c>
      <c r="B10" s="6">
        <v>112</v>
      </c>
      <c r="J10" s="10"/>
      <c r="O10" s="7"/>
    </row>
    <row r="11" spans="1:15" x14ac:dyDescent="0.35">
      <c r="A11" s="11">
        <v>17930</v>
      </c>
      <c r="B11" s="6">
        <v>118</v>
      </c>
      <c r="O11" s="7"/>
    </row>
    <row r="12" spans="1:15" x14ac:dyDescent="0.35">
      <c r="A12" s="11">
        <v>17958</v>
      </c>
      <c r="B12" s="6">
        <v>132</v>
      </c>
      <c r="G12" s="10"/>
      <c r="O12" s="7"/>
    </row>
    <row r="13" spans="1:15" ht="15" thickBot="1" x14ac:dyDescent="0.4">
      <c r="A13" s="11">
        <v>17989</v>
      </c>
      <c r="B13" s="6">
        <v>129</v>
      </c>
      <c r="G13" s="10"/>
      <c r="O13" s="7"/>
    </row>
    <row r="14" spans="1:15" x14ac:dyDescent="0.35">
      <c r="A14" s="11">
        <v>18019</v>
      </c>
      <c r="B14" s="6">
        <v>121</v>
      </c>
      <c r="G14" s="10"/>
      <c r="I14" s="34" t="s">
        <v>32</v>
      </c>
      <c r="J14" s="35"/>
      <c r="K14" s="35"/>
      <c r="L14" s="35"/>
      <c r="M14" s="36"/>
      <c r="O14" s="7"/>
    </row>
    <row r="15" spans="1:15" x14ac:dyDescent="0.35">
      <c r="A15" s="11">
        <v>18050</v>
      </c>
      <c r="B15" s="6">
        <v>135</v>
      </c>
      <c r="G15" s="10"/>
      <c r="I15" s="37"/>
      <c r="J15" s="38"/>
      <c r="K15" s="38"/>
      <c r="L15" s="38"/>
      <c r="M15" s="39"/>
      <c r="O15" s="7"/>
    </row>
    <row r="16" spans="1:15" x14ac:dyDescent="0.35">
      <c r="A16" s="11">
        <v>18080</v>
      </c>
      <c r="B16" s="6">
        <v>148</v>
      </c>
      <c r="G16" s="10"/>
      <c r="I16" s="37"/>
      <c r="J16" s="38"/>
      <c r="K16" s="38"/>
      <c r="L16" s="38"/>
      <c r="M16" s="39"/>
      <c r="O16" s="7"/>
    </row>
    <row r="17" spans="1:15" x14ac:dyDescent="0.35">
      <c r="A17" s="11">
        <v>18111</v>
      </c>
      <c r="B17" s="6">
        <v>148</v>
      </c>
      <c r="G17" s="10"/>
      <c r="I17" s="37"/>
      <c r="J17" s="38"/>
      <c r="K17" s="38"/>
      <c r="L17" s="38"/>
      <c r="M17" s="39"/>
      <c r="O17" s="7"/>
    </row>
    <row r="18" spans="1:15" x14ac:dyDescent="0.35">
      <c r="A18" s="11">
        <v>18142</v>
      </c>
      <c r="B18" s="6">
        <v>136</v>
      </c>
      <c r="G18" s="10"/>
      <c r="I18" s="37"/>
      <c r="J18" s="38"/>
      <c r="K18" s="38"/>
      <c r="L18" s="38"/>
      <c r="M18" s="39"/>
      <c r="O18" s="7"/>
    </row>
    <row r="19" spans="1:15" x14ac:dyDescent="0.35">
      <c r="A19" s="11">
        <v>18172</v>
      </c>
      <c r="B19" s="6">
        <v>119</v>
      </c>
      <c r="G19" s="10"/>
      <c r="I19" s="37"/>
      <c r="J19" s="38"/>
      <c r="K19" s="38"/>
      <c r="L19" s="38"/>
      <c r="M19" s="39"/>
      <c r="O19" s="7"/>
    </row>
    <row r="20" spans="1:15" x14ac:dyDescent="0.35">
      <c r="A20" s="11">
        <v>18203</v>
      </c>
      <c r="B20" s="6">
        <v>104</v>
      </c>
      <c r="G20" s="10"/>
      <c r="I20" s="37"/>
      <c r="J20" s="38"/>
      <c r="K20" s="38"/>
      <c r="L20" s="38"/>
      <c r="M20" s="39"/>
      <c r="O20" s="7"/>
    </row>
    <row r="21" spans="1:15" x14ac:dyDescent="0.35">
      <c r="A21" s="11">
        <v>18233</v>
      </c>
      <c r="B21" s="6">
        <v>118</v>
      </c>
      <c r="G21" s="10"/>
      <c r="I21" s="37"/>
      <c r="J21" s="38"/>
      <c r="K21" s="38"/>
      <c r="L21" s="38"/>
      <c r="M21" s="39"/>
    </row>
    <row r="22" spans="1:15" x14ac:dyDescent="0.35">
      <c r="A22" s="11">
        <v>18264</v>
      </c>
      <c r="B22" s="6">
        <v>115</v>
      </c>
      <c r="G22" s="10"/>
      <c r="I22" s="37"/>
      <c r="J22" s="38"/>
      <c r="K22" s="38"/>
      <c r="L22" s="38"/>
      <c r="M22" s="39"/>
    </row>
    <row r="23" spans="1:15" x14ac:dyDescent="0.35">
      <c r="A23" s="11">
        <v>18295</v>
      </c>
      <c r="B23" s="6">
        <v>126</v>
      </c>
      <c r="G23" s="10"/>
      <c r="I23" s="37"/>
      <c r="J23" s="38"/>
      <c r="K23" s="38"/>
      <c r="L23" s="38"/>
      <c r="M23" s="39"/>
    </row>
    <row r="24" spans="1:15" ht="15" thickBot="1" x14ac:dyDescent="0.4">
      <c r="A24" s="11">
        <v>18323</v>
      </c>
      <c r="B24" s="6">
        <v>141</v>
      </c>
      <c r="G24" s="10"/>
      <c r="I24" s="40"/>
      <c r="J24" s="41"/>
      <c r="K24" s="41"/>
      <c r="L24" s="41"/>
      <c r="M24" s="42"/>
    </row>
    <row r="25" spans="1:15" x14ac:dyDescent="0.35">
      <c r="A25" s="11">
        <v>18354</v>
      </c>
      <c r="B25" s="6">
        <v>135</v>
      </c>
      <c r="G25" s="10"/>
    </row>
    <row r="26" spans="1:15" x14ac:dyDescent="0.35">
      <c r="A26" s="11">
        <v>18384</v>
      </c>
      <c r="B26" s="6">
        <v>125</v>
      </c>
      <c r="G26" s="10"/>
    </row>
    <row r="27" spans="1:15" x14ac:dyDescent="0.35">
      <c r="A27" s="11">
        <v>18415</v>
      </c>
      <c r="B27" s="6">
        <v>149</v>
      </c>
      <c r="G27" s="10"/>
    </row>
    <row r="28" spans="1:15" x14ac:dyDescent="0.35">
      <c r="A28" s="11">
        <v>18445</v>
      </c>
      <c r="B28" s="6">
        <v>170</v>
      </c>
      <c r="G28" s="10"/>
    </row>
    <row r="29" spans="1:15" x14ac:dyDescent="0.35">
      <c r="A29" s="11">
        <v>18476</v>
      </c>
      <c r="B29" s="6">
        <v>170</v>
      </c>
      <c r="G29" s="10"/>
    </row>
    <row r="30" spans="1:15" x14ac:dyDescent="0.35">
      <c r="A30" s="11">
        <v>18507</v>
      </c>
      <c r="B30" s="6">
        <v>158</v>
      </c>
      <c r="G30" s="10"/>
    </row>
    <row r="31" spans="1:15" x14ac:dyDescent="0.35">
      <c r="A31" s="11">
        <v>18537</v>
      </c>
      <c r="B31" s="6">
        <v>133</v>
      </c>
      <c r="G31" s="10"/>
    </row>
    <row r="32" spans="1:15" x14ac:dyDescent="0.35">
      <c r="A32" s="11">
        <v>18568</v>
      </c>
      <c r="B32" s="6">
        <v>114</v>
      </c>
      <c r="G32" s="10"/>
    </row>
    <row r="33" spans="1:7" x14ac:dyDescent="0.35">
      <c r="A33" s="11">
        <v>18598</v>
      </c>
      <c r="B33" s="6">
        <v>140</v>
      </c>
      <c r="G33" s="10"/>
    </row>
    <row r="34" spans="1:7" x14ac:dyDescent="0.35">
      <c r="A34" s="11">
        <v>18629</v>
      </c>
      <c r="B34" s="6">
        <v>145</v>
      </c>
      <c r="G34" s="10"/>
    </row>
    <row r="35" spans="1:7" x14ac:dyDescent="0.35">
      <c r="A35" s="11">
        <v>18660</v>
      </c>
      <c r="B35" s="6">
        <v>150</v>
      </c>
      <c r="G35" s="10"/>
    </row>
    <row r="36" spans="1:7" x14ac:dyDescent="0.35">
      <c r="A36" s="11">
        <v>18688</v>
      </c>
      <c r="B36" s="6">
        <v>178</v>
      </c>
      <c r="G36" s="10"/>
    </row>
    <row r="37" spans="1:7" x14ac:dyDescent="0.35">
      <c r="A37" s="11">
        <v>18719</v>
      </c>
      <c r="B37" s="6">
        <v>163</v>
      </c>
      <c r="G37" s="10"/>
    </row>
    <row r="38" spans="1:7" x14ac:dyDescent="0.35">
      <c r="A38" s="11">
        <v>18749</v>
      </c>
      <c r="B38" s="6">
        <v>172</v>
      </c>
      <c r="G38" s="10"/>
    </row>
    <row r="39" spans="1:7" x14ac:dyDescent="0.35">
      <c r="A39" s="11">
        <v>18780</v>
      </c>
      <c r="B39" s="6">
        <v>178</v>
      </c>
      <c r="G39" s="10"/>
    </row>
    <row r="40" spans="1:7" x14ac:dyDescent="0.35">
      <c r="A40" s="11">
        <v>18810</v>
      </c>
      <c r="B40" s="6">
        <v>199</v>
      </c>
      <c r="G40" s="10"/>
    </row>
    <row r="41" spans="1:7" x14ac:dyDescent="0.35">
      <c r="A41" s="11">
        <v>18841</v>
      </c>
      <c r="B41" s="6">
        <v>199</v>
      </c>
      <c r="G41" s="10"/>
    </row>
    <row r="42" spans="1:7" x14ac:dyDescent="0.35">
      <c r="A42" s="11">
        <v>18872</v>
      </c>
      <c r="B42" s="6">
        <v>184</v>
      </c>
      <c r="G42" s="10"/>
    </row>
    <row r="43" spans="1:7" x14ac:dyDescent="0.35">
      <c r="A43" s="11">
        <v>18902</v>
      </c>
      <c r="B43" s="6">
        <v>162</v>
      </c>
      <c r="G43" s="10"/>
    </row>
    <row r="44" spans="1:7" x14ac:dyDescent="0.35">
      <c r="A44" s="11">
        <v>18933</v>
      </c>
      <c r="B44" s="6">
        <v>146</v>
      </c>
      <c r="G44" s="10"/>
    </row>
    <row r="45" spans="1:7" x14ac:dyDescent="0.35">
      <c r="A45" s="11">
        <v>18963</v>
      </c>
      <c r="B45" s="6">
        <v>166</v>
      </c>
      <c r="G45" s="10"/>
    </row>
    <row r="46" spans="1:7" x14ac:dyDescent="0.35">
      <c r="A46" s="11">
        <v>18994</v>
      </c>
      <c r="B46" s="6">
        <v>171</v>
      </c>
      <c r="G46" s="10"/>
    </row>
    <row r="47" spans="1:7" x14ac:dyDescent="0.35">
      <c r="A47" s="11">
        <v>19025</v>
      </c>
      <c r="B47" s="6">
        <v>180</v>
      </c>
      <c r="G47" s="10"/>
    </row>
    <row r="48" spans="1:7" x14ac:dyDescent="0.35">
      <c r="A48" s="11">
        <v>19054</v>
      </c>
      <c r="B48" s="6">
        <v>193</v>
      </c>
      <c r="G48" s="10"/>
    </row>
    <row r="49" spans="1:7" x14ac:dyDescent="0.35">
      <c r="A49" s="11">
        <v>19085</v>
      </c>
      <c r="B49" s="6">
        <v>181</v>
      </c>
      <c r="G49" s="10"/>
    </row>
    <row r="50" spans="1:7" x14ac:dyDescent="0.35">
      <c r="A50" s="11">
        <v>19115</v>
      </c>
      <c r="B50" s="6">
        <v>183</v>
      </c>
      <c r="G50" s="10"/>
    </row>
    <row r="51" spans="1:7" x14ac:dyDescent="0.35">
      <c r="A51" s="11">
        <v>19146</v>
      </c>
      <c r="B51" s="6">
        <v>218</v>
      </c>
      <c r="G51" s="10"/>
    </row>
    <row r="52" spans="1:7" x14ac:dyDescent="0.35">
      <c r="A52" s="11">
        <v>19176</v>
      </c>
      <c r="B52" s="6">
        <v>230</v>
      </c>
      <c r="G52" s="10"/>
    </row>
    <row r="53" spans="1:7" x14ac:dyDescent="0.35">
      <c r="A53" s="11">
        <v>19207</v>
      </c>
      <c r="B53" s="6">
        <v>242</v>
      </c>
      <c r="G53" s="10"/>
    </row>
    <row r="54" spans="1:7" x14ac:dyDescent="0.35">
      <c r="A54" s="11">
        <v>19238</v>
      </c>
      <c r="B54" s="6">
        <v>209</v>
      </c>
      <c r="G54" s="10"/>
    </row>
    <row r="55" spans="1:7" x14ac:dyDescent="0.35">
      <c r="A55" s="11">
        <v>19268</v>
      </c>
      <c r="B55" s="6">
        <v>191</v>
      </c>
      <c r="G55" s="10"/>
    </row>
    <row r="56" spans="1:7" x14ac:dyDescent="0.35">
      <c r="A56" s="11">
        <v>19299</v>
      </c>
      <c r="B56" s="6">
        <v>172</v>
      </c>
      <c r="G56" s="10"/>
    </row>
    <row r="57" spans="1:7" x14ac:dyDescent="0.35">
      <c r="A57" s="11">
        <v>19329</v>
      </c>
      <c r="B57" s="6">
        <v>194</v>
      </c>
      <c r="G57" s="10"/>
    </row>
    <row r="58" spans="1:7" x14ac:dyDescent="0.35">
      <c r="A58" s="11">
        <v>19360</v>
      </c>
      <c r="B58" s="6">
        <v>196</v>
      </c>
      <c r="G58" s="10"/>
    </row>
    <row r="59" spans="1:7" x14ac:dyDescent="0.35">
      <c r="A59" s="11">
        <v>19391</v>
      </c>
      <c r="B59" s="6">
        <v>196</v>
      </c>
      <c r="G59" s="10"/>
    </row>
    <row r="60" spans="1:7" x14ac:dyDescent="0.35">
      <c r="A60" s="11">
        <v>19419</v>
      </c>
      <c r="B60" s="6">
        <v>236</v>
      </c>
      <c r="G60" s="10"/>
    </row>
    <row r="61" spans="1:7" x14ac:dyDescent="0.35">
      <c r="A61" s="11">
        <v>19450</v>
      </c>
      <c r="B61" s="6">
        <v>235</v>
      </c>
      <c r="G61" s="10"/>
    </row>
    <row r="62" spans="1:7" x14ac:dyDescent="0.35">
      <c r="A62" s="11">
        <v>19480</v>
      </c>
      <c r="B62" s="6">
        <v>229</v>
      </c>
      <c r="G62" s="10"/>
    </row>
    <row r="63" spans="1:7" x14ac:dyDescent="0.35">
      <c r="A63" s="11">
        <v>19511</v>
      </c>
      <c r="B63" s="6">
        <v>243</v>
      </c>
      <c r="G63" s="10"/>
    </row>
    <row r="64" spans="1:7" x14ac:dyDescent="0.35">
      <c r="A64" s="11">
        <v>19541</v>
      </c>
      <c r="B64" s="6">
        <v>264</v>
      </c>
      <c r="G64" s="10"/>
    </row>
    <row r="65" spans="1:7" x14ac:dyDescent="0.35">
      <c r="A65" s="11">
        <v>19572</v>
      </c>
      <c r="B65" s="6">
        <v>272</v>
      </c>
      <c r="G65" s="10"/>
    </row>
    <row r="66" spans="1:7" x14ac:dyDescent="0.35">
      <c r="A66" s="11">
        <v>19603</v>
      </c>
      <c r="B66" s="6">
        <v>237</v>
      </c>
      <c r="G66" s="10"/>
    </row>
    <row r="67" spans="1:7" x14ac:dyDescent="0.35">
      <c r="A67" s="11">
        <v>19633</v>
      </c>
      <c r="B67" s="6">
        <v>211</v>
      </c>
      <c r="G67" s="10"/>
    </row>
    <row r="68" spans="1:7" x14ac:dyDescent="0.35">
      <c r="A68" s="11">
        <v>19664</v>
      </c>
      <c r="B68" s="6">
        <v>180</v>
      </c>
      <c r="G68" s="10"/>
    </row>
    <row r="69" spans="1:7" x14ac:dyDescent="0.35">
      <c r="A69" s="11">
        <v>19694</v>
      </c>
      <c r="B69" s="6">
        <v>201</v>
      </c>
      <c r="G69" s="10"/>
    </row>
    <row r="70" spans="1:7" x14ac:dyDescent="0.35">
      <c r="A70" s="11">
        <v>19725</v>
      </c>
      <c r="B70" s="6">
        <v>204</v>
      </c>
      <c r="G70" s="10"/>
    </row>
    <row r="71" spans="1:7" x14ac:dyDescent="0.35">
      <c r="A71" s="11">
        <v>19756</v>
      </c>
      <c r="B71" s="6">
        <v>188</v>
      </c>
      <c r="G71" s="10"/>
    </row>
    <row r="72" spans="1:7" x14ac:dyDescent="0.35">
      <c r="A72" s="11">
        <v>19784</v>
      </c>
      <c r="B72" s="6">
        <v>235</v>
      </c>
      <c r="G72" s="10"/>
    </row>
    <row r="73" spans="1:7" x14ac:dyDescent="0.35">
      <c r="A73" s="11">
        <v>19815</v>
      </c>
      <c r="B73" s="6">
        <v>227</v>
      </c>
      <c r="G73" s="10"/>
    </row>
    <row r="74" spans="1:7" x14ac:dyDescent="0.35">
      <c r="A74" s="11">
        <v>19845</v>
      </c>
      <c r="B74" s="6">
        <v>234</v>
      </c>
      <c r="G74" s="10"/>
    </row>
    <row r="75" spans="1:7" x14ac:dyDescent="0.35">
      <c r="A75" s="11">
        <v>19876</v>
      </c>
      <c r="B75" s="6">
        <v>264</v>
      </c>
      <c r="G75" s="10"/>
    </row>
    <row r="76" spans="1:7" x14ac:dyDescent="0.35">
      <c r="A76" s="11">
        <v>19906</v>
      </c>
      <c r="B76" s="6">
        <v>302</v>
      </c>
      <c r="G76" s="10"/>
    </row>
    <row r="77" spans="1:7" x14ac:dyDescent="0.35">
      <c r="A77" s="11">
        <v>19937</v>
      </c>
      <c r="B77" s="6">
        <v>293</v>
      </c>
      <c r="G77" s="10"/>
    </row>
    <row r="78" spans="1:7" x14ac:dyDescent="0.35">
      <c r="A78" s="11">
        <v>19968</v>
      </c>
      <c r="B78" s="6">
        <v>259</v>
      </c>
      <c r="G78" s="10"/>
    </row>
    <row r="79" spans="1:7" x14ac:dyDescent="0.35">
      <c r="A79" s="11">
        <v>19998</v>
      </c>
      <c r="B79" s="6">
        <v>229</v>
      </c>
      <c r="G79" s="10"/>
    </row>
    <row r="80" spans="1:7" x14ac:dyDescent="0.35">
      <c r="A80" s="11">
        <v>20029</v>
      </c>
      <c r="B80" s="6">
        <v>203</v>
      </c>
      <c r="G80" s="10"/>
    </row>
    <row r="81" spans="1:7" x14ac:dyDescent="0.35">
      <c r="A81" s="11">
        <v>20059</v>
      </c>
      <c r="B81" s="6">
        <v>229</v>
      </c>
      <c r="G81" s="10"/>
    </row>
    <row r="82" spans="1:7" x14ac:dyDescent="0.35">
      <c r="A82" s="11">
        <v>20090</v>
      </c>
      <c r="B82" s="6">
        <v>242</v>
      </c>
      <c r="G82" s="10"/>
    </row>
    <row r="83" spans="1:7" x14ac:dyDescent="0.35">
      <c r="A83" s="11">
        <v>20121</v>
      </c>
      <c r="B83" s="6">
        <v>233</v>
      </c>
      <c r="G83" s="10"/>
    </row>
    <row r="84" spans="1:7" x14ac:dyDescent="0.35">
      <c r="A84" s="11">
        <v>20149</v>
      </c>
      <c r="B84" s="6">
        <v>267</v>
      </c>
      <c r="G84" s="10"/>
    </row>
    <row r="85" spans="1:7" x14ac:dyDescent="0.35">
      <c r="A85" s="11">
        <v>20180</v>
      </c>
      <c r="B85" s="6">
        <v>269</v>
      </c>
      <c r="G85" s="10"/>
    </row>
    <row r="86" spans="1:7" x14ac:dyDescent="0.35">
      <c r="A86" s="11">
        <v>20210</v>
      </c>
      <c r="B86" s="6">
        <v>270</v>
      </c>
      <c r="G86" s="10"/>
    </row>
    <row r="87" spans="1:7" x14ac:dyDescent="0.35">
      <c r="A87" s="11">
        <v>20241</v>
      </c>
      <c r="B87" s="6">
        <v>315</v>
      </c>
      <c r="G87" s="10"/>
    </row>
    <row r="88" spans="1:7" x14ac:dyDescent="0.35">
      <c r="A88" s="11">
        <v>20271</v>
      </c>
      <c r="B88" s="6">
        <v>364</v>
      </c>
      <c r="G88" s="10"/>
    </row>
    <row r="89" spans="1:7" x14ac:dyDescent="0.35">
      <c r="A89" s="11">
        <v>20302</v>
      </c>
      <c r="B89" s="6">
        <v>347</v>
      </c>
      <c r="G89" s="10"/>
    </row>
    <row r="90" spans="1:7" x14ac:dyDescent="0.35">
      <c r="A90" s="11">
        <v>20333</v>
      </c>
      <c r="B90" s="6">
        <v>312</v>
      </c>
      <c r="G90" s="10"/>
    </row>
    <row r="91" spans="1:7" x14ac:dyDescent="0.35">
      <c r="A91" s="11">
        <v>20363</v>
      </c>
      <c r="B91" s="6">
        <v>274</v>
      </c>
      <c r="G91" s="10"/>
    </row>
    <row r="92" spans="1:7" x14ac:dyDescent="0.35">
      <c r="A92" s="11">
        <v>20394</v>
      </c>
      <c r="B92" s="6">
        <v>237</v>
      </c>
      <c r="G92" s="10"/>
    </row>
    <row r="93" spans="1:7" x14ac:dyDescent="0.35">
      <c r="A93" s="11">
        <v>20424</v>
      </c>
      <c r="B93" s="6">
        <v>278</v>
      </c>
      <c r="G93" s="10"/>
    </row>
    <row r="94" spans="1:7" x14ac:dyDescent="0.35">
      <c r="A94" s="11">
        <v>20455</v>
      </c>
      <c r="B94" s="6">
        <v>284</v>
      </c>
      <c r="G94" s="10"/>
    </row>
    <row r="95" spans="1:7" x14ac:dyDescent="0.35">
      <c r="A95" s="11">
        <v>20486</v>
      </c>
      <c r="B95" s="6">
        <v>277</v>
      </c>
      <c r="G95" s="10"/>
    </row>
    <row r="96" spans="1:7" x14ac:dyDescent="0.35">
      <c r="A96" s="11">
        <v>20515</v>
      </c>
      <c r="B96" s="6">
        <v>317</v>
      </c>
      <c r="G96" s="10"/>
    </row>
    <row r="97" spans="1:7" x14ac:dyDescent="0.35">
      <c r="A97" s="11">
        <v>20546</v>
      </c>
      <c r="B97" s="6">
        <v>313</v>
      </c>
      <c r="G97" s="10"/>
    </row>
    <row r="98" spans="1:7" x14ac:dyDescent="0.35">
      <c r="A98" s="11">
        <v>20576</v>
      </c>
      <c r="B98" s="6">
        <v>318</v>
      </c>
      <c r="G98" s="10"/>
    </row>
    <row r="99" spans="1:7" x14ac:dyDescent="0.35">
      <c r="A99" s="11">
        <v>20607</v>
      </c>
      <c r="B99" s="6">
        <v>374</v>
      </c>
      <c r="G99" s="10"/>
    </row>
    <row r="100" spans="1:7" x14ac:dyDescent="0.35">
      <c r="A100" s="11">
        <v>20637</v>
      </c>
      <c r="B100" s="6">
        <v>413</v>
      </c>
      <c r="G100" s="10"/>
    </row>
    <row r="101" spans="1:7" x14ac:dyDescent="0.35">
      <c r="A101" s="11">
        <v>20668</v>
      </c>
      <c r="B101" s="6">
        <v>405</v>
      </c>
      <c r="G101" s="10"/>
    </row>
    <row r="102" spans="1:7" x14ac:dyDescent="0.35">
      <c r="A102" s="11">
        <v>20699</v>
      </c>
      <c r="B102" s="6">
        <v>355</v>
      </c>
      <c r="G102" s="10"/>
    </row>
    <row r="103" spans="1:7" x14ac:dyDescent="0.35">
      <c r="A103" s="11">
        <v>20729</v>
      </c>
      <c r="B103" s="6">
        <v>306</v>
      </c>
      <c r="G103" s="10"/>
    </row>
    <row r="104" spans="1:7" x14ac:dyDescent="0.35">
      <c r="A104" s="11">
        <v>20760</v>
      </c>
      <c r="B104" s="6">
        <v>271</v>
      </c>
      <c r="G104" s="10"/>
    </row>
    <row r="105" spans="1:7" x14ac:dyDescent="0.35">
      <c r="A105" s="11">
        <v>20790</v>
      </c>
      <c r="B105" s="6">
        <v>306</v>
      </c>
      <c r="G105" s="10"/>
    </row>
    <row r="106" spans="1:7" x14ac:dyDescent="0.35">
      <c r="A106" s="11">
        <v>20821</v>
      </c>
      <c r="B106" s="6">
        <v>315</v>
      </c>
      <c r="G106" s="10"/>
    </row>
    <row r="107" spans="1:7" x14ac:dyDescent="0.35">
      <c r="A107" s="11">
        <v>20852</v>
      </c>
      <c r="B107" s="6">
        <v>301</v>
      </c>
      <c r="G107" s="10"/>
    </row>
    <row r="108" spans="1:7" x14ac:dyDescent="0.35">
      <c r="A108" s="11">
        <v>20880</v>
      </c>
      <c r="B108" s="6">
        <v>356</v>
      </c>
      <c r="G108" s="10"/>
    </row>
    <row r="109" spans="1:7" x14ac:dyDescent="0.35">
      <c r="A109" s="11">
        <v>20911</v>
      </c>
      <c r="B109" s="6">
        <v>348</v>
      </c>
      <c r="G109" s="10"/>
    </row>
    <row r="110" spans="1:7" x14ac:dyDescent="0.35">
      <c r="A110" s="11">
        <v>20941</v>
      </c>
      <c r="B110" s="6">
        <v>355</v>
      </c>
      <c r="G110" s="10"/>
    </row>
    <row r="111" spans="1:7" x14ac:dyDescent="0.35">
      <c r="A111" s="11">
        <v>20972</v>
      </c>
      <c r="B111" s="6">
        <v>422</v>
      </c>
      <c r="G111" s="10"/>
    </row>
    <row r="112" spans="1:7" x14ac:dyDescent="0.35">
      <c r="A112" s="11">
        <v>21002</v>
      </c>
      <c r="B112" s="6">
        <v>465</v>
      </c>
      <c r="G112" s="10"/>
    </row>
    <row r="113" spans="1:7" x14ac:dyDescent="0.35">
      <c r="A113" s="11">
        <v>21033</v>
      </c>
      <c r="B113" s="6">
        <v>467</v>
      </c>
      <c r="G113" s="10"/>
    </row>
    <row r="114" spans="1:7" x14ac:dyDescent="0.35">
      <c r="A114" s="11">
        <v>21064</v>
      </c>
      <c r="B114" s="6">
        <v>404</v>
      </c>
      <c r="G114" s="10"/>
    </row>
    <row r="115" spans="1:7" x14ac:dyDescent="0.35">
      <c r="A115" s="11">
        <v>21094</v>
      </c>
      <c r="B115" s="6">
        <v>347</v>
      </c>
      <c r="G115" s="10"/>
    </row>
    <row r="116" spans="1:7" x14ac:dyDescent="0.35">
      <c r="A116" s="11">
        <v>21125</v>
      </c>
      <c r="B116" s="6">
        <v>305</v>
      </c>
      <c r="G116" s="10"/>
    </row>
    <row r="117" spans="1:7" x14ac:dyDescent="0.35">
      <c r="A117" s="11">
        <v>21155</v>
      </c>
      <c r="B117" s="6">
        <v>336</v>
      </c>
      <c r="G117" s="10"/>
    </row>
  </sheetData>
  <mergeCells count="1">
    <mergeCell ref="I14:M2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9"/>
  </sheetPr>
  <dimension ref="A1:O117"/>
  <sheetViews>
    <sheetView workbookViewId="0">
      <selection activeCell="C13" sqref="C13"/>
    </sheetView>
  </sheetViews>
  <sheetFormatPr defaultRowHeight="14.5" x14ac:dyDescent="0.35"/>
  <cols>
    <col min="1" max="1" width="10.453125" style="6" bestFit="1" customWidth="1"/>
    <col min="2" max="2" width="22.36328125" style="6" bestFit="1" customWidth="1"/>
    <col min="3" max="3" width="10.90625" style="6" bestFit="1" customWidth="1"/>
    <col min="4" max="5" width="17.26953125" style="6" customWidth="1"/>
    <col min="6" max="6" width="7.6328125" style="6" bestFit="1" customWidth="1"/>
    <col min="7" max="7" width="12.54296875" style="6" bestFit="1" customWidth="1"/>
    <col min="8" max="8" width="8.7265625" style="6"/>
    <col min="9" max="9" width="16.7265625" style="6" bestFit="1" customWidth="1"/>
    <col min="10" max="10" width="9.81640625" style="6" bestFit="1" customWidth="1"/>
    <col min="11" max="16384" width="8.7265625" style="6"/>
  </cols>
  <sheetData>
    <row r="1" spans="1:15" x14ac:dyDescent="0.35">
      <c r="C1" s="43" t="s">
        <v>12</v>
      </c>
      <c r="D1" s="43"/>
      <c r="E1" s="43"/>
      <c r="I1" s="8"/>
      <c r="J1" s="8"/>
    </row>
    <row r="2" spans="1:15" x14ac:dyDescent="0.35">
      <c r="E2" s="7"/>
      <c r="I2" s="8"/>
      <c r="J2" s="8"/>
    </row>
    <row r="3" spans="1:15" x14ac:dyDescent="0.35">
      <c r="E3" s="7"/>
      <c r="I3" s="8"/>
      <c r="J3" s="8"/>
    </row>
    <row r="4" spans="1:15" x14ac:dyDescent="0.35">
      <c r="E4" s="7"/>
      <c r="I4" s="8"/>
      <c r="J4" s="8"/>
    </row>
    <row r="5" spans="1:15" x14ac:dyDescent="0.35">
      <c r="E5" s="17" t="s">
        <v>15</v>
      </c>
      <c r="I5" s="8"/>
      <c r="J5" s="8"/>
    </row>
    <row r="8" spans="1:15" x14ac:dyDescent="0.35">
      <c r="A8" s="5" t="s">
        <v>2</v>
      </c>
      <c r="B8" s="5" t="s">
        <v>3</v>
      </c>
      <c r="C8" s="5" t="s">
        <v>12</v>
      </c>
      <c r="F8" s="5" t="s">
        <v>18</v>
      </c>
      <c r="G8" s="5" t="s">
        <v>7</v>
      </c>
      <c r="I8" s="43" t="s">
        <v>16</v>
      </c>
      <c r="J8" s="43"/>
      <c r="M8" s="7"/>
    </row>
    <row r="9" spans="1:15" ht="15" thickBot="1" x14ac:dyDescent="0.4">
      <c r="A9" s="5"/>
      <c r="B9" s="5"/>
      <c r="C9" s="5"/>
      <c r="F9" s="5"/>
      <c r="G9" s="5"/>
      <c r="I9" s="5"/>
      <c r="J9" s="5"/>
    </row>
    <row r="10" spans="1:15" ht="15" thickBot="1" x14ac:dyDescent="0.4">
      <c r="A10" s="11">
        <v>17899</v>
      </c>
      <c r="B10" s="6">
        <v>112</v>
      </c>
      <c r="C10" s="1">
        <v>112</v>
      </c>
      <c r="F10" s="6">
        <f>SUM(C10:E10)</f>
        <v>112</v>
      </c>
      <c r="G10" s="12">
        <f t="shared" ref="G10" si="0">(F10-B10)^2</f>
        <v>0</v>
      </c>
      <c r="I10" s="9" t="s">
        <v>8</v>
      </c>
      <c r="J10" s="16">
        <f>SUM(G10:G117)</f>
        <v>794008.97067267017</v>
      </c>
      <c r="O10" s="7"/>
    </row>
    <row r="11" spans="1:15" x14ac:dyDescent="0.35">
      <c r="A11" s="11">
        <v>17930</v>
      </c>
      <c r="B11" s="6">
        <v>118</v>
      </c>
      <c r="C11" s="12">
        <f>AVERAGE(B$10:B10)</f>
        <v>112</v>
      </c>
      <c r="F11" s="12">
        <f t="shared" ref="F11:F74" si="1">SUM(C11:E11)</f>
        <v>112</v>
      </c>
      <c r="G11" s="12">
        <f>(F11-B11)^2</f>
        <v>36</v>
      </c>
      <c r="O11" s="7"/>
    </row>
    <row r="12" spans="1:15" x14ac:dyDescent="0.35">
      <c r="A12" s="11">
        <v>17958</v>
      </c>
      <c r="B12" s="6">
        <v>132</v>
      </c>
      <c r="C12" s="12">
        <f>AVERAGE(B$10:B11)</f>
        <v>115</v>
      </c>
      <c r="F12" s="12">
        <f t="shared" si="1"/>
        <v>115</v>
      </c>
      <c r="G12" s="12">
        <f t="shared" ref="G12:G75" si="2">(F12-B12)^2</f>
        <v>289</v>
      </c>
      <c r="O12" s="7"/>
    </row>
    <row r="13" spans="1:15" ht="15" thickBot="1" x14ac:dyDescent="0.4">
      <c r="A13" s="11">
        <v>17989</v>
      </c>
      <c r="B13" s="6">
        <v>129</v>
      </c>
      <c r="C13" s="12">
        <f>AVERAGE(B$10:B12)</f>
        <v>120.66666666666667</v>
      </c>
      <c r="F13" s="12">
        <f t="shared" si="1"/>
        <v>120.66666666666667</v>
      </c>
      <c r="G13" s="12">
        <f t="shared" si="2"/>
        <v>69.444444444444372</v>
      </c>
      <c r="O13" s="7"/>
    </row>
    <row r="14" spans="1:15" x14ac:dyDescent="0.35">
      <c r="A14" s="11">
        <v>18019</v>
      </c>
      <c r="B14" s="6">
        <v>121</v>
      </c>
      <c r="C14" s="12">
        <f>AVERAGE(B$10:B13)</f>
        <v>122.75</v>
      </c>
      <c r="F14" s="12">
        <f t="shared" si="1"/>
        <v>122.75</v>
      </c>
      <c r="G14" s="12">
        <f t="shared" si="2"/>
        <v>3.0625</v>
      </c>
      <c r="I14" s="34" t="s">
        <v>14</v>
      </c>
      <c r="J14" s="35"/>
      <c r="K14" s="35"/>
      <c r="L14" s="35"/>
      <c r="M14" s="36"/>
      <c r="O14" s="7"/>
    </row>
    <row r="15" spans="1:15" x14ac:dyDescent="0.35">
      <c r="A15" s="11">
        <v>18050</v>
      </c>
      <c r="B15" s="6">
        <v>135</v>
      </c>
      <c r="C15" s="12">
        <f>AVERAGE(B$10:B14)</f>
        <v>122.4</v>
      </c>
      <c r="F15" s="12">
        <f t="shared" si="1"/>
        <v>122.4</v>
      </c>
      <c r="G15" s="12">
        <f t="shared" si="2"/>
        <v>158.75999999999985</v>
      </c>
      <c r="I15" s="37"/>
      <c r="J15" s="38"/>
      <c r="K15" s="38"/>
      <c r="L15" s="38"/>
      <c r="M15" s="39"/>
      <c r="O15" s="7"/>
    </row>
    <row r="16" spans="1:15" x14ac:dyDescent="0.35">
      <c r="A16" s="11">
        <v>18080</v>
      </c>
      <c r="B16" s="6">
        <v>148</v>
      </c>
      <c r="C16" s="12">
        <f>AVERAGE(B$10:B15)</f>
        <v>124.5</v>
      </c>
      <c r="F16" s="12">
        <f t="shared" si="1"/>
        <v>124.5</v>
      </c>
      <c r="G16" s="12">
        <f t="shared" si="2"/>
        <v>552.25</v>
      </c>
      <c r="I16" s="37"/>
      <c r="J16" s="38"/>
      <c r="K16" s="38"/>
      <c r="L16" s="38"/>
      <c r="M16" s="39"/>
      <c r="O16" s="7"/>
    </row>
    <row r="17" spans="1:15" x14ac:dyDescent="0.35">
      <c r="A17" s="11">
        <v>18111</v>
      </c>
      <c r="B17" s="6">
        <v>148</v>
      </c>
      <c r="C17" s="12">
        <f>AVERAGE(B$10:B16)</f>
        <v>127.85714285714286</v>
      </c>
      <c r="F17" s="12">
        <f t="shared" si="1"/>
        <v>127.85714285714286</v>
      </c>
      <c r="G17" s="12">
        <f t="shared" si="2"/>
        <v>405.73469387755085</v>
      </c>
      <c r="I17" s="37"/>
      <c r="J17" s="38"/>
      <c r="K17" s="38"/>
      <c r="L17" s="38"/>
      <c r="M17" s="39"/>
      <c r="O17" s="7"/>
    </row>
    <row r="18" spans="1:15" x14ac:dyDescent="0.35">
      <c r="A18" s="11">
        <v>18142</v>
      </c>
      <c r="B18" s="6">
        <v>136</v>
      </c>
      <c r="C18" s="12">
        <f>AVERAGE(B$10:B17)</f>
        <v>130.375</v>
      </c>
      <c r="F18" s="12">
        <f t="shared" si="1"/>
        <v>130.375</v>
      </c>
      <c r="G18" s="12">
        <f t="shared" si="2"/>
        <v>31.640625</v>
      </c>
      <c r="I18" s="37"/>
      <c r="J18" s="38"/>
      <c r="K18" s="38"/>
      <c r="L18" s="38"/>
      <c r="M18" s="39"/>
      <c r="O18" s="7"/>
    </row>
    <row r="19" spans="1:15" x14ac:dyDescent="0.35">
      <c r="A19" s="11">
        <v>18172</v>
      </c>
      <c r="B19" s="6">
        <v>119</v>
      </c>
      <c r="C19" s="12">
        <f>AVERAGE(B$10:B18)</f>
        <v>131</v>
      </c>
      <c r="F19" s="12">
        <f t="shared" si="1"/>
        <v>131</v>
      </c>
      <c r="G19" s="12">
        <f t="shared" si="2"/>
        <v>144</v>
      </c>
      <c r="I19" s="37"/>
      <c r="J19" s="38"/>
      <c r="K19" s="38"/>
      <c r="L19" s="38"/>
      <c r="M19" s="39"/>
      <c r="O19" s="7"/>
    </row>
    <row r="20" spans="1:15" x14ac:dyDescent="0.35">
      <c r="A20" s="11">
        <v>18203</v>
      </c>
      <c r="B20" s="6">
        <v>104</v>
      </c>
      <c r="C20" s="12">
        <f>AVERAGE(B$10:B19)</f>
        <v>129.80000000000001</v>
      </c>
      <c r="F20" s="12">
        <f t="shared" si="1"/>
        <v>129.80000000000001</v>
      </c>
      <c r="G20" s="12">
        <f t="shared" si="2"/>
        <v>665.64000000000055</v>
      </c>
      <c r="I20" s="37"/>
      <c r="J20" s="38"/>
      <c r="K20" s="38"/>
      <c r="L20" s="38"/>
      <c r="M20" s="39"/>
      <c r="O20" s="7"/>
    </row>
    <row r="21" spans="1:15" x14ac:dyDescent="0.35">
      <c r="A21" s="11">
        <v>18233</v>
      </c>
      <c r="B21" s="6">
        <v>118</v>
      </c>
      <c r="C21" s="12">
        <f>AVERAGE(B$10:B20)</f>
        <v>127.45454545454545</v>
      </c>
      <c r="F21" s="12">
        <f t="shared" si="1"/>
        <v>127.45454545454545</v>
      </c>
      <c r="G21" s="12">
        <f t="shared" si="2"/>
        <v>89.388429752066088</v>
      </c>
      <c r="I21" s="37"/>
      <c r="J21" s="38"/>
      <c r="K21" s="38"/>
      <c r="L21" s="38"/>
      <c r="M21" s="39"/>
    </row>
    <row r="22" spans="1:15" x14ac:dyDescent="0.35">
      <c r="A22" s="11">
        <v>18264</v>
      </c>
      <c r="B22" s="6">
        <v>115</v>
      </c>
      <c r="C22" s="12">
        <f>AVERAGE(B$10:B21)</f>
        <v>126.66666666666667</v>
      </c>
      <c r="F22" s="12">
        <f t="shared" si="1"/>
        <v>126.66666666666667</v>
      </c>
      <c r="G22" s="12">
        <f t="shared" si="2"/>
        <v>136.11111111111123</v>
      </c>
      <c r="I22" s="37"/>
      <c r="J22" s="38"/>
      <c r="K22" s="38"/>
      <c r="L22" s="38"/>
      <c r="M22" s="39"/>
    </row>
    <row r="23" spans="1:15" x14ac:dyDescent="0.35">
      <c r="A23" s="11">
        <v>18295</v>
      </c>
      <c r="B23" s="6">
        <v>126</v>
      </c>
      <c r="C23" s="12">
        <f>AVERAGE(B$10:B22)</f>
        <v>125.76923076923077</v>
      </c>
      <c r="F23" s="12">
        <f t="shared" si="1"/>
        <v>125.76923076923077</v>
      </c>
      <c r="G23" s="12">
        <f t="shared" si="2"/>
        <v>5.3254437869820467E-2</v>
      </c>
      <c r="I23" s="37"/>
      <c r="J23" s="38"/>
      <c r="K23" s="38"/>
      <c r="L23" s="38"/>
      <c r="M23" s="39"/>
    </row>
    <row r="24" spans="1:15" ht="15" thickBot="1" x14ac:dyDescent="0.4">
      <c r="A24" s="11">
        <v>18323</v>
      </c>
      <c r="B24" s="6">
        <v>141</v>
      </c>
      <c r="C24" s="12">
        <f>AVERAGE(B$10:B23)</f>
        <v>125.78571428571429</v>
      </c>
      <c r="F24" s="12">
        <f t="shared" si="1"/>
        <v>125.78571428571429</v>
      </c>
      <c r="G24" s="12">
        <f t="shared" si="2"/>
        <v>231.47448979591817</v>
      </c>
      <c r="I24" s="40"/>
      <c r="J24" s="41"/>
      <c r="K24" s="41"/>
      <c r="L24" s="41"/>
      <c r="M24" s="42"/>
    </row>
    <row r="25" spans="1:15" x14ac:dyDescent="0.35">
      <c r="A25" s="11">
        <v>18354</v>
      </c>
      <c r="B25" s="6">
        <v>135</v>
      </c>
      <c r="C25" s="12">
        <f>AVERAGE(B$10:B24)</f>
        <v>126.8</v>
      </c>
      <c r="F25" s="12">
        <f t="shared" si="1"/>
        <v>126.8</v>
      </c>
      <c r="G25" s="12">
        <f t="shared" si="2"/>
        <v>67.240000000000052</v>
      </c>
    </row>
    <row r="26" spans="1:15" x14ac:dyDescent="0.35">
      <c r="A26" s="11">
        <v>18384</v>
      </c>
      <c r="B26" s="6">
        <v>125</v>
      </c>
      <c r="C26" s="12">
        <f>AVERAGE(B$10:B25)</f>
        <v>127.3125</v>
      </c>
      <c r="F26" s="12">
        <f t="shared" si="1"/>
        <v>127.3125</v>
      </c>
      <c r="G26" s="12">
        <f t="shared" si="2"/>
        <v>5.34765625</v>
      </c>
    </row>
    <row r="27" spans="1:15" x14ac:dyDescent="0.35">
      <c r="A27" s="11">
        <v>18415</v>
      </c>
      <c r="B27" s="6">
        <v>149</v>
      </c>
      <c r="C27" s="12">
        <f>AVERAGE(B$10:B26)</f>
        <v>127.17647058823529</v>
      </c>
      <c r="F27" s="12">
        <f t="shared" si="1"/>
        <v>127.17647058823529</v>
      </c>
      <c r="G27" s="12">
        <f t="shared" si="2"/>
        <v>476.26643598615937</v>
      </c>
    </row>
    <row r="28" spans="1:15" x14ac:dyDescent="0.35">
      <c r="A28" s="11">
        <v>18445</v>
      </c>
      <c r="B28" s="6">
        <v>170</v>
      </c>
      <c r="C28" s="12">
        <f>AVERAGE(B$10:B27)</f>
        <v>128.38888888888889</v>
      </c>
      <c r="F28" s="12">
        <f t="shared" si="1"/>
        <v>128.38888888888889</v>
      </c>
      <c r="G28" s="12">
        <f t="shared" si="2"/>
        <v>1731.4845679012349</v>
      </c>
    </row>
    <row r="29" spans="1:15" x14ac:dyDescent="0.35">
      <c r="A29" s="11">
        <v>18476</v>
      </c>
      <c r="B29" s="6">
        <v>170</v>
      </c>
      <c r="C29" s="12">
        <f>AVERAGE(B$10:B28)</f>
        <v>130.57894736842104</v>
      </c>
      <c r="F29" s="12">
        <f t="shared" si="1"/>
        <v>130.57894736842104</v>
      </c>
      <c r="G29" s="12">
        <f t="shared" si="2"/>
        <v>1554.0193905817184</v>
      </c>
    </row>
    <row r="30" spans="1:15" x14ac:dyDescent="0.35">
      <c r="A30" s="11">
        <v>18507</v>
      </c>
      <c r="B30" s="6">
        <v>158</v>
      </c>
      <c r="C30" s="12">
        <f>AVERAGE(B$10:B29)</f>
        <v>132.55000000000001</v>
      </c>
      <c r="F30" s="12">
        <f t="shared" si="1"/>
        <v>132.55000000000001</v>
      </c>
      <c r="G30" s="12">
        <f t="shared" si="2"/>
        <v>647.70249999999942</v>
      </c>
    </row>
    <row r="31" spans="1:15" x14ac:dyDescent="0.35">
      <c r="A31" s="11">
        <v>18537</v>
      </c>
      <c r="B31" s="6">
        <v>133</v>
      </c>
      <c r="C31" s="12">
        <f>AVERAGE(B$10:B30)</f>
        <v>133.76190476190476</v>
      </c>
      <c r="F31" s="12">
        <f t="shared" si="1"/>
        <v>133.76190476190476</v>
      </c>
      <c r="G31" s="12">
        <f t="shared" si="2"/>
        <v>0.58049886621314783</v>
      </c>
    </row>
    <row r="32" spans="1:15" x14ac:dyDescent="0.35">
      <c r="A32" s="11">
        <v>18568</v>
      </c>
      <c r="B32" s="6">
        <v>114</v>
      </c>
      <c r="C32" s="12">
        <f>AVERAGE(B$10:B31)</f>
        <v>133.72727272727272</v>
      </c>
      <c r="F32" s="12">
        <f t="shared" si="1"/>
        <v>133.72727272727272</v>
      </c>
      <c r="G32" s="12">
        <f t="shared" si="2"/>
        <v>389.16528925619804</v>
      </c>
    </row>
    <row r="33" spans="1:7" x14ac:dyDescent="0.35">
      <c r="A33" s="11">
        <v>18598</v>
      </c>
      <c r="B33" s="6">
        <v>140</v>
      </c>
      <c r="C33" s="12">
        <f>AVERAGE(B$10:B32)</f>
        <v>132.86956521739131</v>
      </c>
      <c r="F33" s="12">
        <f t="shared" si="1"/>
        <v>132.86956521739131</v>
      </c>
      <c r="G33" s="12">
        <f t="shared" si="2"/>
        <v>50.843100189035809</v>
      </c>
    </row>
    <row r="34" spans="1:7" x14ac:dyDescent="0.35">
      <c r="A34" s="11">
        <v>18629</v>
      </c>
      <c r="B34" s="6">
        <v>145</v>
      </c>
      <c r="C34" s="12">
        <f>AVERAGE(B$10:B33)</f>
        <v>133.16666666666666</v>
      </c>
      <c r="F34" s="12">
        <f t="shared" si="1"/>
        <v>133.16666666666666</v>
      </c>
      <c r="G34" s="12">
        <f t="shared" si="2"/>
        <v>140.027777777778</v>
      </c>
    </row>
    <row r="35" spans="1:7" x14ac:dyDescent="0.35">
      <c r="A35" s="11">
        <v>18660</v>
      </c>
      <c r="B35" s="6">
        <v>150</v>
      </c>
      <c r="C35" s="12">
        <f>AVERAGE(B$10:B34)</f>
        <v>133.63999999999999</v>
      </c>
      <c r="F35" s="12">
        <f t="shared" si="1"/>
        <v>133.63999999999999</v>
      </c>
      <c r="G35" s="12">
        <f t="shared" si="2"/>
        <v>267.64960000000042</v>
      </c>
    </row>
    <row r="36" spans="1:7" x14ac:dyDescent="0.35">
      <c r="A36" s="11">
        <v>18688</v>
      </c>
      <c r="B36" s="6">
        <v>178</v>
      </c>
      <c r="C36" s="12">
        <f>AVERAGE(B$10:B35)</f>
        <v>134.26923076923077</v>
      </c>
      <c r="F36" s="12">
        <f t="shared" si="1"/>
        <v>134.26923076923077</v>
      </c>
      <c r="G36" s="12">
        <f t="shared" si="2"/>
        <v>1912.3801775147924</v>
      </c>
    </row>
    <row r="37" spans="1:7" x14ac:dyDescent="0.35">
      <c r="A37" s="11">
        <v>18719</v>
      </c>
      <c r="B37" s="6">
        <v>163</v>
      </c>
      <c r="C37" s="12">
        <f>AVERAGE(B$10:B36)</f>
        <v>135.88888888888889</v>
      </c>
      <c r="F37" s="12">
        <f t="shared" si="1"/>
        <v>135.88888888888889</v>
      </c>
      <c r="G37" s="12">
        <f t="shared" si="2"/>
        <v>735.01234567901247</v>
      </c>
    </row>
    <row r="38" spans="1:7" x14ac:dyDescent="0.35">
      <c r="A38" s="11">
        <v>18749</v>
      </c>
      <c r="B38" s="6">
        <v>172</v>
      </c>
      <c r="C38" s="12">
        <f>AVERAGE(B$10:B37)</f>
        <v>136.85714285714286</v>
      </c>
      <c r="F38" s="12">
        <f t="shared" si="1"/>
        <v>136.85714285714286</v>
      </c>
      <c r="G38" s="12">
        <f t="shared" si="2"/>
        <v>1235.0204081632651</v>
      </c>
    </row>
    <row r="39" spans="1:7" x14ac:dyDescent="0.35">
      <c r="A39" s="11">
        <v>18780</v>
      </c>
      <c r="B39" s="6">
        <v>178</v>
      </c>
      <c r="C39" s="12">
        <f>AVERAGE(B$10:B38)</f>
        <v>138.06896551724137</v>
      </c>
      <c r="F39" s="12">
        <f t="shared" si="1"/>
        <v>138.06896551724137</v>
      </c>
      <c r="G39" s="12">
        <f t="shared" si="2"/>
        <v>1594.4875148632591</v>
      </c>
    </row>
    <row r="40" spans="1:7" x14ac:dyDescent="0.35">
      <c r="A40" s="11">
        <v>18810</v>
      </c>
      <c r="B40" s="6">
        <v>199</v>
      </c>
      <c r="C40" s="12">
        <f>AVERAGE(B$10:B39)</f>
        <v>139.4</v>
      </c>
      <c r="F40" s="12">
        <f t="shared" si="1"/>
        <v>139.4</v>
      </c>
      <c r="G40" s="12">
        <f t="shared" si="2"/>
        <v>3552.1599999999994</v>
      </c>
    </row>
    <row r="41" spans="1:7" x14ac:dyDescent="0.35">
      <c r="A41" s="11">
        <v>18841</v>
      </c>
      <c r="B41" s="6">
        <v>199</v>
      </c>
      <c r="C41" s="12">
        <f>AVERAGE(B$10:B40)</f>
        <v>141.32258064516128</v>
      </c>
      <c r="F41" s="12">
        <f t="shared" si="1"/>
        <v>141.32258064516128</v>
      </c>
      <c r="G41" s="12">
        <f t="shared" si="2"/>
        <v>3326.6847034339239</v>
      </c>
    </row>
    <row r="42" spans="1:7" x14ac:dyDescent="0.35">
      <c r="A42" s="11">
        <v>18872</v>
      </c>
      <c r="B42" s="6">
        <v>184</v>
      </c>
      <c r="C42" s="12">
        <f>AVERAGE(B$10:B41)</f>
        <v>143.125</v>
      </c>
      <c r="F42" s="12">
        <f t="shared" si="1"/>
        <v>143.125</v>
      </c>
      <c r="G42" s="12">
        <f t="shared" si="2"/>
        <v>1670.765625</v>
      </c>
    </row>
    <row r="43" spans="1:7" x14ac:dyDescent="0.35">
      <c r="A43" s="11">
        <v>18902</v>
      </c>
      <c r="B43" s="6">
        <v>162</v>
      </c>
      <c r="C43" s="12">
        <f>AVERAGE(B$10:B42)</f>
        <v>144.36363636363637</v>
      </c>
      <c r="F43" s="12">
        <f t="shared" si="1"/>
        <v>144.36363636363637</v>
      </c>
      <c r="G43" s="12">
        <f t="shared" si="2"/>
        <v>311.04132231404924</v>
      </c>
    </row>
    <row r="44" spans="1:7" x14ac:dyDescent="0.35">
      <c r="A44" s="11">
        <v>18933</v>
      </c>
      <c r="B44" s="6">
        <v>146</v>
      </c>
      <c r="C44" s="12">
        <f>AVERAGE(B$10:B43)</f>
        <v>144.88235294117646</v>
      </c>
      <c r="F44" s="12">
        <f t="shared" si="1"/>
        <v>144.88235294117646</v>
      </c>
      <c r="G44" s="12">
        <f t="shared" si="2"/>
        <v>1.2491349480969007</v>
      </c>
    </row>
    <row r="45" spans="1:7" x14ac:dyDescent="0.35">
      <c r="A45" s="11">
        <v>18963</v>
      </c>
      <c r="B45" s="6">
        <v>166</v>
      </c>
      <c r="C45" s="12">
        <f>AVERAGE(B$10:B44)</f>
        <v>144.91428571428571</v>
      </c>
      <c r="F45" s="12">
        <f t="shared" si="1"/>
        <v>144.91428571428571</v>
      </c>
      <c r="G45" s="12">
        <f t="shared" si="2"/>
        <v>444.60734693877566</v>
      </c>
    </row>
    <row r="46" spans="1:7" x14ac:dyDescent="0.35">
      <c r="A46" s="11">
        <v>18994</v>
      </c>
      <c r="B46" s="6">
        <v>171</v>
      </c>
      <c r="C46" s="12">
        <f>AVERAGE(B$10:B45)</f>
        <v>145.5</v>
      </c>
      <c r="F46" s="12">
        <f t="shared" si="1"/>
        <v>145.5</v>
      </c>
      <c r="G46" s="12">
        <f t="shared" si="2"/>
        <v>650.25</v>
      </c>
    </row>
    <row r="47" spans="1:7" x14ac:dyDescent="0.35">
      <c r="A47" s="11">
        <v>19025</v>
      </c>
      <c r="B47" s="6">
        <v>180</v>
      </c>
      <c r="C47" s="12">
        <f>AVERAGE(B$10:B46)</f>
        <v>146.18918918918919</v>
      </c>
      <c r="F47" s="12">
        <f t="shared" si="1"/>
        <v>146.18918918918919</v>
      </c>
      <c r="G47" s="12">
        <f t="shared" si="2"/>
        <v>1143.170927684441</v>
      </c>
    </row>
    <row r="48" spans="1:7" x14ac:dyDescent="0.35">
      <c r="A48" s="11">
        <v>19054</v>
      </c>
      <c r="B48" s="6">
        <v>193</v>
      </c>
      <c r="C48" s="12">
        <f>AVERAGE(B$10:B47)</f>
        <v>147.07894736842104</v>
      </c>
      <c r="F48" s="12">
        <f t="shared" si="1"/>
        <v>147.07894736842104</v>
      </c>
      <c r="G48" s="12">
        <f t="shared" si="2"/>
        <v>2108.7430747922449</v>
      </c>
    </row>
    <row r="49" spans="1:7" x14ac:dyDescent="0.35">
      <c r="A49" s="11">
        <v>19085</v>
      </c>
      <c r="B49" s="6">
        <v>181</v>
      </c>
      <c r="C49" s="12">
        <f>AVERAGE(B$10:B48)</f>
        <v>148.25641025641025</v>
      </c>
      <c r="F49" s="12">
        <f t="shared" si="1"/>
        <v>148.25641025641025</v>
      </c>
      <c r="G49" s="12">
        <f t="shared" si="2"/>
        <v>1072.142669296516</v>
      </c>
    </row>
    <row r="50" spans="1:7" x14ac:dyDescent="0.35">
      <c r="A50" s="11">
        <v>19115</v>
      </c>
      <c r="B50" s="6">
        <v>183</v>
      </c>
      <c r="C50" s="12">
        <f>AVERAGE(B$10:B49)</f>
        <v>149.07499999999999</v>
      </c>
      <c r="F50" s="12">
        <f t="shared" si="1"/>
        <v>149.07499999999999</v>
      </c>
      <c r="G50" s="12">
        <f t="shared" si="2"/>
        <v>1150.9056250000008</v>
      </c>
    </row>
    <row r="51" spans="1:7" x14ac:dyDescent="0.35">
      <c r="A51" s="11">
        <v>19146</v>
      </c>
      <c r="B51" s="6">
        <v>218</v>
      </c>
      <c r="C51" s="12">
        <f>AVERAGE(B$10:B50)</f>
        <v>149.90243902439025</v>
      </c>
      <c r="F51" s="12">
        <f t="shared" si="1"/>
        <v>149.90243902439025</v>
      </c>
      <c r="G51" s="12">
        <f t="shared" si="2"/>
        <v>4637.2778108268885</v>
      </c>
    </row>
    <row r="52" spans="1:7" x14ac:dyDescent="0.35">
      <c r="A52" s="11">
        <v>19176</v>
      </c>
      <c r="B52" s="6">
        <v>230</v>
      </c>
      <c r="C52" s="12">
        <f>AVERAGE(B$10:B51)</f>
        <v>151.52380952380952</v>
      </c>
      <c r="F52" s="12">
        <f t="shared" si="1"/>
        <v>151.52380952380952</v>
      </c>
      <c r="G52" s="12">
        <f t="shared" si="2"/>
        <v>6158.51247165533</v>
      </c>
    </row>
    <row r="53" spans="1:7" x14ac:dyDescent="0.35">
      <c r="A53" s="11">
        <v>19207</v>
      </c>
      <c r="B53" s="6">
        <v>242</v>
      </c>
      <c r="C53" s="12">
        <f>AVERAGE(B$10:B52)</f>
        <v>153.34883720930233</v>
      </c>
      <c r="F53" s="12">
        <f t="shared" si="1"/>
        <v>153.34883720930233</v>
      </c>
      <c r="G53" s="12">
        <f t="shared" si="2"/>
        <v>7859.0286641427792</v>
      </c>
    </row>
    <row r="54" spans="1:7" x14ac:dyDescent="0.35">
      <c r="A54" s="11">
        <v>19238</v>
      </c>
      <c r="B54" s="6">
        <v>209</v>
      </c>
      <c r="C54" s="12">
        <f>AVERAGE(B$10:B53)</f>
        <v>155.36363636363637</v>
      </c>
      <c r="F54" s="12">
        <f t="shared" si="1"/>
        <v>155.36363636363637</v>
      </c>
      <c r="G54" s="12">
        <f t="shared" si="2"/>
        <v>2876.8595041322301</v>
      </c>
    </row>
    <row r="55" spans="1:7" x14ac:dyDescent="0.35">
      <c r="A55" s="11">
        <v>19268</v>
      </c>
      <c r="B55" s="6">
        <v>191</v>
      </c>
      <c r="C55" s="12">
        <f>AVERAGE(B$10:B54)</f>
        <v>156.55555555555554</v>
      </c>
      <c r="F55" s="12">
        <f t="shared" si="1"/>
        <v>156.55555555555554</v>
      </c>
      <c r="G55" s="12">
        <f t="shared" si="2"/>
        <v>1186.4197530864205</v>
      </c>
    </row>
    <row r="56" spans="1:7" x14ac:dyDescent="0.35">
      <c r="A56" s="11">
        <v>19299</v>
      </c>
      <c r="B56" s="6">
        <v>172</v>
      </c>
      <c r="C56" s="12">
        <f>AVERAGE(B$10:B55)</f>
        <v>157.30434782608697</v>
      </c>
      <c r="F56" s="12">
        <f t="shared" si="1"/>
        <v>157.30434782608697</v>
      </c>
      <c r="G56" s="12">
        <f t="shared" si="2"/>
        <v>215.96219281663483</v>
      </c>
    </row>
    <row r="57" spans="1:7" x14ac:dyDescent="0.35">
      <c r="A57" s="11">
        <v>19329</v>
      </c>
      <c r="B57" s="6">
        <v>194</v>
      </c>
      <c r="C57" s="12">
        <f>AVERAGE(B$10:B56)</f>
        <v>157.61702127659575</v>
      </c>
      <c r="F57" s="12">
        <f t="shared" si="1"/>
        <v>157.61702127659575</v>
      </c>
      <c r="G57" s="12">
        <f t="shared" si="2"/>
        <v>1323.7211407876864</v>
      </c>
    </row>
    <row r="58" spans="1:7" x14ac:dyDescent="0.35">
      <c r="A58" s="11">
        <v>19360</v>
      </c>
      <c r="B58" s="6">
        <v>196</v>
      </c>
      <c r="C58" s="12">
        <f>AVERAGE(B$10:B57)</f>
        <v>158.375</v>
      </c>
      <c r="F58" s="12">
        <f t="shared" si="1"/>
        <v>158.375</v>
      </c>
      <c r="G58" s="12">
        <f t="shared" si="2"/>
        <v>1415.640625</v>
      </c>
    </row>
    <row r="59" spans="1:7" x14ac:dyDescent="0.35">
      <c r="A59" s="11">
        <v>19391</v>
      </c>
      <c r="B59" s="6">
        <v>196</v>
      </c>
      <c r="C59" s="12">
        <f>AVERAGE(B$10:B58)</f>
        <v>159.14285714285714</v>
      </c>
      <c r="F59" s="12">
        <f t="shared" si="1"/>
        <v>159.14285714285714</v>
      </c>
      <c r="G59" s="12">
        <f t="shared" si="2"/>
        <v>1358.4489795918371</v>
      </c>
    </row>
    <row r="60" spans="1:7" x14ac:dyDescent="0.35">
      <c r="A60" s="11">
        <v>19419</v>
      </c>
      <c r="B60" s="6">
        <v>236</v>
      </c>
      <c r="C60" s="12">
        <f>AVERAGE(B$10:B59)</f>
        <v>159.88</v>
      </c>
      <c r="F60" s="12">
        <f t="shared" si="1"/>
        <v>159.88</v>
      </c>
      <c r="G60" s="12">
        <f t="shared" si="2"/>
        <v>5794.2544000000007</v>
      </c>
    </row>
    <row r="61" spans="1:7" x14ac:dyDescent="0.35">
      <c r="A61" s="11">
        <v>19450</v>
      </c>
      <c r="B61" s="6">
        <v>235</v>
      </c>
      <c r="C61" s="12">
        <f>AVERAGE(B$10:B60)</f>
        <v>161.37254901960785</v>
      </c>
      <c r="F61" s="12">
        <f t="shared" si="1"/>
        <v>161.37254901960785</v>
      </c>
      <c r="G61" s="12">
        <f t="shared" si="2"/>
        <v>5421.00153787005</v>
      </c>
    </row>
    <row r="62" spans="1:7" x14ac:dyDescent="0.35">
      <c r="A62" s="11">
        <v>19480</v>
      </c>
      <c r="B62" s="6">
        <v>229</v>
      </c>
      <c r="C62" s="12">
        <f>AVERAGE(B$10:B61)</f>
        <v>162.78846153846155</v>
      </c>
      <c r="F62" s="12">
        <f t="shared" si="1"/>
        <v>162.78846153846155</v>
      </c>
      <c r="G62" s="12">
        <f t="shared" si="2"/>
        <v>4383.9678254437858</v>
      </c>
    </row>
    <row r="63" spans="1:7" x14ac:dyDescent="0.35">
      <c r="A63" s="11">
        <v>19511</v>
      </c>
      <c r="B63" s="6">
        <v>243</v>
      </c>
      <c r="C63" s="12">
        <f>AVERAGE(B$10:B62)</f>
        <v>164.03773584905662</v>
      </c>
      <c r="F63" s="12">
        <f t="shared" si="1"/>
        <v>164.03773584905662</v>
      </c>
      <c r="G63" s="12">
        <f t="shared" si="2"/>
        <v>6235.0391598433589</v>
      </c>
    </row>
    <row r="64" spans="1:7" x14ac:dyDescent="0.35">
      <c r="A64" s="11">
        <v>19541</v>
      </c>
      <c r="B64" s="6">
        <v>264</v>
      </c>
      <c r="C64" s="12">
        <f>AVERAGE(B$10:B63)</f>
        <v>165.5</v>
      </c>
      <c r="F64" s="12">
        <f t="shared" si="1"/>
        <v>165.5</v>
      </c>
      <c r="G64" s="12">
        <f t="shared" si="2"/>
        <v>9702.25</v>
      </c>
    </row>
    <row r="65" spans="1:7" x14ac:dyDescent="0.35">
      <c r="A65" s="11">
        <v>19572</v>
      </c>
      <c r="B65" s="6">
        <v>272</v>
      </c>
      <c r="C65" s="12">
        <f>AVERAGE(B$10:B64)</f>
        <v>167.29090909090908</v>
      </c>
      <c r="F65" s="12">
        <f t="shared" si="1"/>
        <v>167.29090909090908</v>
      </c>
      <c r="G65" s="12">
        <f t="shared" si="2"/>
        <v>10963.993719008266</v>
      </c>
    </row>
    <row r="66" spans="1:7" x14ac:dyDescent="0.35">
      <c r="A66" s="11">
        <v>19603</v>
      </c>
      <c r="B66" s="6">
        <v>237</v>
      </c>
      <c r="C66" s="12">
        <f>AVERAGE(B$10:B65)</f>
        <v>169.16071428571428</v>
      </c>
      <c r="F66" s="12">
        <f t="shared" si="1"/>
        <v>169.16071428571428</v>
      </c>
      <c r="G66" s="12">
        <f t="shared" si="2"/>
        <v>4602.1686862244906</v>
      </c>
    </row>
    <row r="67" spans="1:7" x14ac:dyDescent="0.35">
      <c r="A67" s="11">
        <v>19633</v>
      </c>
      <c r="B67" s="6">
        <v>211</v>
      </c>
      <c r="C67" s="12">
        <f>AVERAGE(B$10:B66)</f>
        <v>170.35087719298247</v>
      </c>
      <c r="F67" s="12">
        <f t="shared" si="1"/>
        <v>170.35087719298247</v>
      </c>
      <c r="G67" s="12">
        <f t="shared" si="2"/>
        <v>1652.3511849799929</v>
      </c>
    </row>
    <row r="68" spans="1:7" x14ac:dyDescent="0.35">
      <c r="A68" s="11">
        <v>19664</v>
      </c>
      <c r="B68" s="6">
        <v>180</v>
      </c>
      <c r="C68" s="12">
        <f>AVERAGE(B$10:B67)</f>
        <v>171.05172413793105</v>
      </c>
      <c r="F68" s="12">
        <f t="shared" si="1"/>
        <v>171.05172413793105</v>
      </c>
      <c r="G68" s="12">
        <f t="shared" si="2"/>
        <v>80.071640903685875</v>
      </c>
    </row>
    <row r="69" spans="1:7" x14ac:dyDescent="0.35">
      <c r="A69" s="11">
        <v>19694</v>
      </c>
      <c r="B69" s="6">
        <v>201</v>
      </c>
      <c r="C69" s="12">
        <f>AVERAGE(B$10:B68)</f>
        <v>171.20338983050848</v>
      </c>
      <c r="F69" s="12">
        <f t="shared" si="1"/>
        <v>171.20338983050848</v>
      </c>
      <c r="G69" s="12">
        <f t="shared" si="2"/>
        <v>887.83797759264519</v>
      </c>
    </row>
    <row r="70" spans="1:7" x14ac:dyDescent="0.35">
      <c r="A70" s="11">
        <v>19725</v>
      </c>
      <c r="B70" s="6">
        <v>204</v>
      </c>
      <c r="C70" s="12">
        <f>AVERAGE(B$10:B69)</f>
        <v>171.7</v>
      </c>
      <c r="F70" s="12">
        <f t="shared" si="1"/>
        <v>171.7</v>
      </c>
      <c r="G70" s="12">
        <f t="shared" si="2"/>
        <v>1043.2900000000006</v>
      </c>
    </row>
    <row r="71" spans="1:7" x14ac:dyDescent="0.35">
      <c r="A71" s="11">
        <v>19756</v>
      </c>
      <c r="B71" s="6">
        <v>188</v>
      </c>
      <c r="C71" s="12">
        <f>AVERAGE(B$10:B70)</f>
        <v>172.2295081967213</v>
      </c>
      <c r="F71" s="12">
        <f t="shared" si="1"/>
        <v>172.2295081967213</v>
      </c>
      <c r="G71" s="12">
        <f t="shared" si="2"/>
        <v>248.70841171728074</v>
      </c>
    </row>
    <row r="72" spans="1:7" x14ac:dyDescent="0.35">
      <c r="A72" s="11">
        <v>19784</v>
      </c>
      <c r="B72" s="6">
        <v>235</v>
      </c>
      <c r="C72" s="12">
        <f>AVERAGE(B$10:B71)</f>
        <v>172.48387096774192</v>
      </c>
      <c r="F72" s="12">
        <f t="shared" si="1"/>
        <v>172.48387096774192</v>
      </c>
      <c r="G72" s="12">
        <f t="shared" si="2"/>
        <v>3908.2663891779412</v>
      </c>
    </row>
    <row r="73" spans="1:7" x14ac:dyDescent="0.35">
      <c r="A73" s="11">
        <v>19815</v>
      </c>
      <c r="B73" s="6">
        <v>227</v>
      </c>
      <c r="C73" s="12">
        <f>AVERAGE(B$10:B72)</f>
        <v>173.47619047619048</v>
      </c>
      <c r="F73" s="12">
        <f t="shared" si="1"/>
        <v>173.47619047619048</v>
      </c>
      <c r="G73" s="12">
        <f t="shared" si="2"/>
        <v>2864.7981859410424</v>
      </c>
    </row>
    <row r="74" spans="1:7" x14ac:dyDescent="0.35">
      <c r="A74" s="11">
        <v>19845</v>
      </c>
      <c r="B74" s="6">
        <v>234</v>
      </c>
      <c r="C74" s="12">
        <f>AVERAGE(B$10:B73)</f>
        <v>174.3125</v>
      </c>
      <c r="F74" s="12">
        <f t="shared" si="1"/>
        <v>174.3125</v>
      </c>
      <c r="G74" s="12">
        <f t="shared" si="2"/>
        <v>3562.59765625</v>
      </c>
    </row>
    <row r="75" spans="1:7" x14ac:dyDescent="0.35">
      <c r="A75" s="11">
        <v>19876</v>
      </c>
      <c r="B75" s="6">
        <v>264</v>
      </c>
      <c r="C75" s="12">
        <f>AVERAGE(B$10:B74)</f>
        <v>175.23076923076923</v>
      </c>
      <c r="F75" s="12">
        <f t="shared" ref="F75:F117" si="3">SUM(C75:E75)</f>
        <v>175.23076923076923</v>
      </c>
      <c r="G75" s="12">
        <f t="shared" si="2"/>
        <v>7879.9763313609474</v>
      </c>
    </row>
    <row r="76" spans="1:7" x14ac:dyDescent="0.35">
      <c r="A76" s="11">
        <v>19906</v>
      </c>
      <c r="B76" s="6">
        <v>302</v>
      </c>
      <c r="C76" s="12">
        <f>AVERAGE(B$10:B75)</f>
        <v>176.57575757575756</v>
      </c>
      <c r="F76" s="12">
        <f t="shared" si="3"/>
        <v>176.57575757575756</v>
      </c>
      <c r="G76" s="12">
        <f t="shared" ref="G76:G117" si="4">(F76-B76)^2</f>
        <v>15731.240587695136</v>
      </c>
    </row>
    <row r="77" spans="1:7" x14ac:dyDescent="0.35">
      <c r="A77" s="11">
        <v>19937</v>
      </c>
      <c r="B77" s="6">
        <v>293</v>
      </c>
      <c r="C77" s="12">
        <f>AVERAGE(B$10:B76)</f>
        <v>178.44776119402985</v>
      </c>
      <c r="F77" s="12">
        <f t="shared" si="3"/>
        <v>178.44776119402985</v>
      </c>
      <c r="G77" s="12">
        <f t="shared" si="4"/>
        <v>13122.215415460014</v>
      </c>
    </row>
    <row r="78" spans="1:7" x14ac:dyDescent="0.35">
      <c r="A78" s="11">
        <v>19968</v>
      </c>
      <c r="B78" s="6">
        <v>259</v>
      </c>
      <c r="C78" s="12">
        <f>AVERAGE(B$10:B77)</f>
        <v>180.13235294117646</v>
      </c>
      <c r="F78" s="12">
        <f t="shared" si="3"/>
        <v>180.13235294117646</v>
      </c>
      <c r="G78" s="12">
        <f t="shared" si="4"/>
        <v>6220.1057525951564</v>
      </c>
    </row>
    <row r="79" spans="1:7" x14ac:dyDescent="0.35">
      <c r="A79" s="11">
        <v>19998</v>
      </c>
      <c r="B79" s="6">
        <v>229</v>
      </c>
      <c r="C79" s="12">
        <f>AVERAGE(B$10:B78)</f>
        <v>181.27536231884059</v>
      </c>
      <c r="F79" s="12">
        <f t="shared" si="3"/>
        <v>181.27536231884059</v>
      </c>
      <c r="G79" s="12">
        <f t="shared" si="4"/>
        <v>2277.6410417979405</v>
      </c>
    </row>
    <row r="80" spans="1:7" x14ac:dyDescent="0.35">
      <c r="A80" s="11">
        <v>20029</v>
      </c>
      <c r="B80" s="6">
        <v>203</v>
      </c>
      <c r="C80" s="12">
        <f>AVERAGE(B$10:B79)</f>
        <v>181.95714285714286</v>
      </c>
      <c r="F80" s="12">
        <f t="shared" si="3"/>
        <v>181.95714285714286</v>
      </c>
      <c r="G80" s="12">
        <f t="shared" si="4"/>
        <v>442.80183673469395</v>
      </c>
    </row>
    <row r="81" spans="1:7" x14ac:dyDescent="0.35">
      <c r="A81" s="11">
        <v>20059</v>
      </c>
      <c r="B81" s="6">
        <v>229</v>
      </c>
      <c r="C81" s="12">
        <f>AVERAGE(B$10:B80)</f>
        <v>182.25352112676057</v>
      </c>
      <c r="F81" s="12">
        <f t="shared" si="3"/>
        <v>182.25352112676057</v>
      </c>
      <c r="G81" s="12">
        <f t="shared" si="4"/>
        <v>2185.2332870462201</v>
      </c>
    </row>
    <row r="82" spans="1:7" x14ac:dyDescent="0.35">
      <c r="A82" s="11">
        <v>20090</v>
      </c>
      <c r="B82" s="6">
        <v>242</v>
      </c>
      <c r="C82" s="12">
        <f>AVERAGE(B$10:B81)</f>
        <v>182.90277777777777</v>
      </c>
      <c r="F82" s="12">
        <f t="shared" si="3"/>
        <v>182.90277777777777</v>
      </c>
      <c r="G82" s="12">
        <f t="shared" si="4"/>
        <v>3492.4816743827168</v>
      </c>
    </row>
    <row r="83" spans="1:7" x14ac:dyDescent="0.35">
      <c r="A83" s="11">
        <v>20121</v>
      </c>
      <c r="B83" s="6">
        <v>233</v>
      </c>
      <c r="C83" s="12">
        <f>AVERAGE(B$10:B82)</f>
        <v>183.7123287671233</v>
      </c>
      <c r="F83" s="12">
        <f t="shared" si="3"/>
        <v>183.7123287671233</v>
      </c>
      <c r="G83" s="12">
        <f t="shared" si="4"/>
        <v>2429.2745355601419</v>
      </c>
    </row>
    <row r="84" spans="1:7" x14ac:dyDescent="0.35">
      <c r="A84" s="11">
        <v>20149</v>
      </c>
      <c r="B84" s="6">
        <v>267</v>
      </c>
      <c r="C84" s="12">
        <f>AVERAGE(B$10:B83)</f>
        <v>184.37837837837839</v>
      </c>
      <c r="F84" s="12">
        <f t="shared" si="3"/>
        <v>184.37837837837839</v>
      </c>
      <c r="G84" s="12">
        <f t="shared" si="4"/>
        <v>6826.3323593864125</v>
      </c>
    </row>
    <row r="85" spans="1:7" x14ac:dyDescent="0.35">
      <c r="A85" s="11">
        <v>20180</v>
      </c>
      <c r="B85" s="6">
        <v>269</v>
      </c>
      <c r="C85" s="12">
        <f>AVERAGE(B$10:B84)</f>
        <v>185.48</v>
      </c>
      <c r="F85" s="12">
        <f t="shared" si="3"/>
        <v>185.48</v>
      </c>
      <c r="G85" s="12">
        <f t="shared" si="4"/>
        <v>6975.5904000000019</v>
      </c>
    </row>
    <row r="86" spans="1:7" x14ac:dyDescent="0.35">
      <c r="A86" s="11">
        <v>20210</v>
      </c>
      <c r="B86" s="6">
        <v>270</v>
      </c>
      <c r="C86" s="12">
        <f>AVERAGE(B$10:B85)</f>
        <v>186.57894736842104</v>
      </c>
      <c r="F86" s="12">
        <f t="shared" si="3"/>
        <v>186.57894736842104</v>
      </c>
      <c r="G86" s="12">
        <f t="shared" si="4"/>
        <v>6959.0720221606671</v>
      </c>
    </row>
    <row r="87" spans="1:7" x14ac:dyDescent="0.35">
      <c r="A87" s="11">
        <v>20241</v>
      </c>
      <c r="B87" s="6">
        <v>315</v>
      </c>
      <c r="C87" s="12">
        <f>AVERAGE(B$10:B86)</f>
        <v>187.66233766233765</v>
      </c>
      <c r="F87" s="12">
        <f t="shared" si="3"/>
        <v>187.66233766233765</v>
      </c>
      <c r="G87" s="12">
        <f t="shared" si="4"/>
        <v>16214.880249620513</v>
      </c>
    </row>
    <row r="88" spans="1:7" x14ac:dyDescent="0.35">
      <c r="A88" s="11">
        <v>20271</v>
      </c>
      <c r="B88" s="6">
        <v>364</v>
      </c>
      <c r="C88" s="12">
        <f>AVERAGE(B$10:B87)</f>
        <v>189.2948717948718</v>
      </c>
      <c r="F88" s="12">
        <f t="shared" si="3"/>
        <v>189.2948717948718</v>
      </c>
      <c r="G88" s="12">
        <f t="shared" si="4"/>
        <v>30521.881821170282</v>
      </c>
    </row>
    <row r="89" spans="1:7" x14ac:dyDescent="0.35">
      <c r="A89" s="11">
        <v>20302</v>
      </c>
      <c r="B89" s="6">
        <v>347</v>
      </c>
      <c r="C89" s="12">
        <f>AVERAGE(B$10:B88)</f>
        <v>191.50632911392404</v>
      </c>
      <c r="F89" s="12">
        <f t="shared" si="3"/>
        <v>191.50632911392404</v>
      </c>
      <c r="G89" s="12">
        <f t="shared" si="4"/>
        <v>24178.281685627306</v>
      </c>
    </row>
    <row r="90" spans="1:7" x14ac:dyDescent="0.35">
      <c r="A90" s="11">
        <v>20333</v>
      </c>
      <c r="B90" s="6">
        <v>312</v>
      </c>
      <c r="C90" s="12">
        <f>AVERAGE(B$10:B89)</f>
        <v>193.45</v>
      </c>
      <c r="F90" s="12">
        <f t="shared" si="3"/>
        <v>193.45</v>
      </c>
      <c r="G90" s="12">
        <f t="shared" si="4"/>
        <v>14054.102500000003</v>
      </c>
    </row>
    <row r="91" spans="1:7" x14ac:dyDescent="0.35">
      <c r="A91" s="11">
        <v>20363</v>
      </c>
      <c r="B91" s="6">
        <v>274</v>
      </c>
      <c r="C91" s="12">
        <f>AVERAGE(B$10:B90)</f>
        <v>194.91358024691357</v>
      </c>
      <c r="F91" s="12">
        <f t="shared" si="3"/>
        <v>194.91358024691357</v>
      </c>
      <c r="G91" s="12">
        <f t="shared" si="4"/>
        <v>6254.6617893613793</v>
      </c>
    </row>
    <row r="92" spans="1:7" x14ac:dyDescent="0.35">
      <c r="A92" s="11">
        <v>20394</v>
      </c>
      <c r="B92" s="6">
        <v>237</v>
      </c>
      <c r="C92" s="12">
        <f>AVERAGE(B$10:B91)</f>
        <v>195.8780487804878</v>
      </c>
      <c r="F92" s="12">
        <f t="shared" si="3"/>
        <v>195.8780487804878</v>
      </c>
      <c r="G92" s="12">
        <f t="shared" si="4"/>
        <v>1691.0148720999407</v>
      </c>
    </row>
    <row r="93" spans="1:7" x14ac:dyDescent="0.35">
      <c r="A93" s="11">
        <v>20424</v>
      </c>
      <c r="B93" s="6">
        <v>278</v>
      </c>
      <c r="C93" s="12">
        <f>AVERAGE(B$10:B92)</f>
        <v>196.37349397590361</v>
      </c>
      <c r="F93" s="12">
        <f t="shared" si="3"/>
        <v>196.37349397590361</v>
      </c>
      <c r="G93" s="12">
        <f t="shared" si="4"/>
        <v>6662.8864857018434</v>
      </c>
    </row>
    <row r="94" spans="1:7" x14ac:dyDescent="0.35">
      <c r="A94" s="11">
        <v>20455</v>
      </c>
      <c r="B94" s="6">
        <v>284</v>
      </c>
      <c r="C94" s="12">
        <f>AVERAGE(B$10:B93)</f>
        <v>197.3452380952381</v>
      </c>
      <c r="F94" s="12">
        <f t="shared" si="3"/>
        <v>197.3452380952381</v>
      </c>
      <c r="G94" s="12">
        <f t="shared" si="4"/>
        <v>7509.0477607709736</v>
      </c>
    </row>
    <row r="95" spans="1:7" x14ac:dyDescent="0.35">
      <c r="A95" s="11">
        <v>20486</v>
      </c>
      <c r="B95" s="6">
        <v>277</v>
      </c>
      <c r="C95" s="12">
        <f>AVERAGE(B$10:B94)</f>
        <v>198.36470588235295</v>
      </c>
      <c r="F95" s="12">
        <f t="shared" si="3"/>
        <v>198.36470588235295</v>
      </c>
      <c r="G95" s="12">
        <f t="shared" si="4"/>
        <v>6183.5094809688562</v>
      </c>
    </row>
    <row r="96" spans="1:7" x14ac:dyDescent="0.35">
      <c r="A96" s="11">
        <v>20515</v>
      </c>
      <c r="B96" s="6">
        <v>317</v>
      </c>
      <c r="C96" s="12">
        <f>AVERAGE(B$10:B95)</f>
        <v>199.27906976744185</v>
      </c>
      <c r="F96" s="12">
        <f t="shared" si="3"/>
        <v>199.27906976744185</v>
      </c>
      <c r="G96" s="12">
        <f t="shared" si="4"/>
        <v>13858.217414818822</v>
      </c>
    </row>
    <row r="97" spans="1:7" x14ac:dyDescent="0.35">
      <c r="A97" s="11">
        <v>20546</v>
      </c>
      <c r="B97" s="6">
        <v>313</v>
      </c>
      <c r="C97" s="12">
        <f>AVERAGE(B$10:B96)</f>
        <v>200.63218390804599</v>
      </c>
      <c r="F97" s="12">
        <f t="shared" si="3"/>
        <v>200.63218390804599</v>
      </c>
      <c r="G97" s="12">
        <f t="shared" si="4"/>
        <v>12626.526093275199</v>
      </c>
    </row>
    <row r="98" spans="1:7" x14ac:dyDescent="0.35">
      <c r="A98" s="11">
        <v>20576</v>
      </c>
      <c r="B98" s="6">
        <v>318</v>
      </c>
      <c r="C98" s="12">
        <f>AVERAGE(B$10:B97)</f>
        <v>201.90909090909091</v>
      </c>
      <c r="F98" s="12">
        <f t="shared" si="3"/>
        <v>201.90909090909091</v>
      </c>
      <c r="G98" s="12">
        <f t="shared" si="4"/>
        <v>13477.099173553719</v>
      </c>
    </row>
    <row r="99" spans="1:7" x14ac:dyDescent="0.35">
      <c r="A99" s="11">
        <v>20607</v>
      </c>
      <c r="B99" s="6">
        <v>374</v>
      </c>
      <c r="C99" s="12">
        <f>AVERAGE(B$10:B98)</f>
        <v>203.2134831460674</v>
      </c>
      <c r="F99" s="12">
        <f t="shared" si="3"/>
        <v>203.2134831460674</v>
      </c>
      <c r="G99" s="12">
        <f t="shared" si="4"/>
        <v>29168.034339098602</v>
      </c>
    </row>
    <row r="100" spans="1:7" x14ac:dyDescent="0.35">
      <c r="A100" s="11">
        <v>20637</v>
      </c>
      <c r="B100" s="6">
        <v>413</v>
      </c>
      <c r="C100" s="12">
        <f>AVERAGE(B$10:B99)</f>
        <v>205.11111111111111</v>
      </c>
      <c r="F100" s="12">
        <f t="shared" si="3"/>
        <v>205.11111111111111</v>
      </c>
      <c r="G100" s="12">
        <f t="shared" si="4"/>
        <v>43217.790123456791</v>
      </c>
    </row>
    <row r="101" spans="1:7" x14ac:dyDescent="0.35">
      <c r="A101" s="11">
        <v>20668</v>
      </c>
      <c r="B101" s="6">
        <v>405</v>
      </c>
      <c r="C101" s="12">
        <f>AVERAGE(B$10:B100)</f>
        <v>207.39560439560441</v>
      </c>
      <c r="F101" s="12">
        <f t="shared" si="3"/>
        <v>207.39560439560441</v>
      </c>
      <c r="G101" s="12">
        <f t="shared" si="4"/>
        <v>39047.497162178479</v>
      </c>
    </row>
    <row r="102" spans="1:7" x14ac:dyDescent="0.35">
      <c r="A102" s="11">
        <v>20699</v>
      </c>
      <c r="B102" s="6">
        <v>355</v>
      </c>
      <c r="C102" s="12">
        <f>AVERAGE(B$10:B101)</f>
        <v>209.54347826086956</v>
      </c>
      <c r="F102" s="12">
        <f t="shared" si="3"/>
        <v>209.54347826086956</v>
      </c>
      <c r="G102" s="12">
        <f t="shared" si="4"/>
        <v>21157.599716446126</v>
      </c>
    </row>
    <row r="103" spans="1:7" x14ac:dyDescent="0.35">
      <c r="A103" s="11">
        <v>20729</v>
      </c>
      <c r="B103" s="6">
        <v>306</v>
      </c>
      <c r="C103" s="12">
        <f>AVERAGE(B$10:B102)</f>
        <v>211.10752688172042</v>
      </c>
      <c r="F103" s="12">
        <f t="shared" si="3"/>
        <v>211.10752688172042</v>
      </c>
      <c r="G103" s="12">
        <f t="shared" si="4"/>
        <v>9004.5814545034136</v>
      </c>
    </row>
    <row r="104" spans="1:7" x14ac:dyDescent="0.35">
      <c r="A104" s="11">
        <v>20760</v>
      </c>
      <c r="B104" s="6">
        <v>271</v>
      </c>
      <c r="C104" s="12">
        <f>AVERAGE(B$10:B103)</f>
        <v>212.11702127659575</v>
      </c>
      <c r="F104" s="12">
        <f t="shared" si="3"/>
        <v>212.11702127659575</v>
      </c>
      <c r="G104" s="12">
        <f t="shared" si="4"/>
        <v>3467.2051833408777</v>
      </c>
    </row>
    <row r="105" spans="1:7" x14ac:dyDescent="0.35">
      <c r="A105" s="11">
        <v>20790</v>
      </c>
      <c r="B105" s="6">
        <v>306</v>
      </c>
      <c r="C105" s="12">
        <f>AVERAGE(B$10:B104)</f>
        <v>212.73684210526315</v>
      </c>
      <c r="F105" s="12">
        <f t="shared" si="3"/>
        <v>212.73684210526315</v>
      </c>
      <c r="G105" s="12">
        <f t="shared" si="4"/>
        <v>8698.0166204986162</v>
      </c>
    </row>
    <row r="106" spans="1:7" x14ac:dyDescent="0.35">
      <c r="A106" s="11">
        <v>20821</v>
      </c>
      <c r="B106" s="6">
        <v>315</v>
      </c>
      <c r="C106" s="12">
        <f>AVERAGE(B$10:B105)</f>
        <v>213.70833333333334</v>
      </c>
      <c r="F106" s="12">
        <f t="shared" si="3"/>
        <v>213.70833333333334</v>
      </c>
      <c r="G106" s="12">
        <f t="shared" si="4"/>
        <v>10260.001736111109</v>
      </c>
    </row>
    <row r="107" spans="1:7" x14ac:dyDescent="0.35">
      <c r="A107" s="11">
        <v>20852</v>
      </c>
      <c r="B107" s="6">
        <v>301</v>
      </c>
      <c r="C107" s="12">
        <f>AVERAGE(B$10:B106)</f>
        <v>214.75257731958763</v>
      </c>
      <c r="F107" s="12">
        <f t="shared" si="3"/>
        <v>214.75257731958763</v>
      </c>
      <c r="G107" s="12">
        <f t="shared" si="4"/>
        <v>7438.61791901371</v>
      </c>
    </row>
    <row r="108" spans="1:7" x14ac:dyDescent="0.35">
      <c r="A108" s="11">
        <v>20880</v>
      </c>
      <c r="B108" s="6">
        <v>356</v>
      </c>
      <c r="C108" s="12">
        <f>AVERAGE(B$10:B107)</f>
        <v>215.63265306122449</v>
      </c>
      <c r="F108" s="12">
        <f t="shared" si="3"/>
        <v>215.63265306122449</v>
      </c>
      <c r="G108" s="12">
        <f t="shared" si="4"/>
        <v>19702.992086630573</v>
      </c>
    </row>
    <row r="109" spans="1:7" x14ac:dyDescent="0.35">
      <c r="A109" s="11">
        <v>20911</v>
      </c>
      <c r="B109" s="6">
        <v>348</v>
      </c>
      <c r="C109" s="12">
        <f>AVERAGE(B$10:B108)</f>
        <v>217.05050505050505</v>
      </c>
      <c r="F109" s="12">
        <f t="shared" si="3"/>
        <v>217.05050505050505</v>
      </c>
      <c r="G109" s="12">
        <f t="shared" si="4"/>
        <v>17147.770227527802</v>
      </c>
    </row>
    <row r="110" spans="1:7" x14ac:dyDescent="0.35">
      <c r="A110" s="11">
        <v>20941</v>
      </c>
      <c r="B110" s="6">
        <v>355</v>
      </c>
      <c r="C110" s="12">
        <f>AVERAGE(B$10:B109)</f>
        <v>218.36</v>
      </c>
      <c r="F110" s="12">
        <f t="shared" si="3"/>
        <v>218.36</v>
      </c>
      <c r="G110" s="12">
        <f t="shared" si="4"/>
        <v>18670.489599999997</v>
      </c>
    </row>
    <row r="111" spans="1:7" x14ac:dyDescent="0.35">
      <c r="A111" s="11">
        <v>20972</v>
      </c>
      <c r="B111" s="6">
        <v>422</v>
      </c>
      <c r="C111" s="12">
        <f>AVERAGE(B$10:B110)</f>
        <v>219.71287128712871</v>
      </c>
      <c r="F111" s="12">
        <f t="shared" si="3"/>
        <v>219.71287128712871</v>
      </c>
      <c r="G111" s="12">
        <f t="shared" si="4"/>
        <v>40920.082442897758</v>
      </c>
    </row>
    <row r="112" spans="1:7" x14ac:dyDescent="0.35">
      <c r="A112" s="11">
        <v>21002</v>
      </c>
      <c r="B112" s="6">
        <v>465</v>
      </c>
      <c r="C112" s="12">
        <f>AVERAGE(B$10:B111)</f>
        <v>221.69607843137254</v>
      </c>
      <c r="F112" s="12">
        <f t="shared" si="3"/>
        <v>221.69607843137254</v>
      </c>
      <c r="G112" s="12">
        <f t="shared" si="4"/>
        <v>59196.798250672822</v>
      </c>
    </row>
    <row r="113" spans="1:7" x14ac:dyDescent="0.35">
      <c r="A113" s="11">
        <v>21033</v>
      </c>
      <c r="B113" s="6">
        <v>467</v>
      </c>
      <c r="C113" s="12">
        <f>AVERAGE(B$10:B112)</f>
        <v>224.05825242718447</v>
      </c>
      <c r="F113" s="12">
        <f t="shared" si="3"/>
        <v>224.05825242718447</v>
      </c>
      <c r="G113" s="12">
        <f t="shared" si="4"/>
        <v>59020.692713733617</v>
      </c>
    </row>
    <row r="114" spans="1:7" x14ac:dyDescent="0.35">
      <c r="A114" s="11">
        <v>21064</v>
      </c>
      <c r="B114" s="6">
        <v>404</v>
      </c>
      <c r="C114" s="12">
        <f>AVERAGE(B$10:B113)</f>
        <v>226.39423076923077</v>
      </c>
      <c r="F114" s="12">
        <f t="shared" si="3"/>
        <v>226.39423076923077</v>
      </c>
      <c r="G114" s="12">
        <f t="shared" si="4"/>
        <v>31543.809264053252</v>
      </c>
    </row>
    <row r="115" spans="1:7" x14ac:dyDescent="0.35">
      <c r="A115" s="11">
        <v>21094</v>
      </c>
      <c r="B115" s="6">
        <v>347</v>
      </c>
      <c r="C115" s="12">
        <f>AVERAGE(B$10:B114)</f>
        <v>228.08571428571429</v>
      </c>
      <c r="F115" s="12">
        <f t="shared" si="3"/>
        <v>228.08571428571429</v>
      </c>
      <c r="G115" s="12">
        <f t="shared" si="4"/>
        <v>14140.607346938774</v>
      </c>
    </row>
    <row r="116" spans="1:7" x14ac:dyDescent="0.35">
      <c r="A116" s="11">
        <v>21125</v>
      </c>
      <c r="B116" s="6">
        <v>305</v>
      </c>
      <c r="C116" s="12">
        <f>AVERAGE(B$10:B115)</f>
        <v>229.20754716981133</v>
      </c>
      <c r="F116" s="12">
        <f t="shared" si="3"/>
        <v>229.20754716981133</v>
      </c>
      <c r="G116" s="12">
        <f t="shared" si="4"/>
        <v>5744.4959060163737</v>
      </c>
    </row>
    <row r="117" spans="1:7" x14ac:dyDescent="0.35">
      <c r="A117" s="11">
        <v>21155</v>
      </c>
      <c r="B117" s="6">
        <v>336</v>
      </c>
      <c r="C117" s="12">
        <f>AVERAGE(B$10:B116)</f>
        <v>229.9158878504673</v>
      </c>
      <c r="F117" s="12">
        <f t="shared" si="3"/>
        <v>229.9158878504673</v>
      </c>
      <c r="G117" s="12">
        <f t="shared" si="4"/>
        <v>11253.838850554632</v>
      </c>
    </row>
  </sheetData>
  <mergeCells count="3">
    <mergeCell ref="I14:M24"/>
    <mergeCell ref="I8:J8"/>
    <mergeCell ref="C1:E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9"/>
  </sheetPr>
  <dimension ref="A1:O117"/>
  <sheetViews>
    <sheetView workbookViewId="0">
      <selection activeCell="D9" sqref="D9"/>
    </sheetView>
  </sheetViews>
  <sheetFormatPr defaultRowHeight="14.5" x14ac:dyDescent="0.35"/>
  <cols>
    <col min="1" max="1" width="10.453125" style="6" bestFit="1" customWidth="1"/>
    <col min="2" max="2" width="22.36328125" style="6" bestFit="1" customWidth="1"/>
    <col min="3" max="3" width="7.6328125" style="6" bestFit="1" customWidth="1"/>
    <col min="4" max="5" width="17.26953125" style="6" customWidth="1"/>
    <col min="6" max="6" width="7.6328125" style="6" bestFit="1" customWidth="1"/>
    <col min="7" max="7" width="12.54296875" style="6" bestFit="1" customWidth="1"/>
    <col min="8" max="8" width="8.7265625" style="6"/>
    <col min="9" max="9" width="16.7265625" style="6" bestFit="1" customWidth="1"/>
    <col min="10" max="10" width="11.36328125" style="6" bestFit="1" customWidth="1"/>
    <col min="11" max="16384" width="8.7265625" style="6"/>
  </cols>
  <sheetData>
    <row r="1" spans="1:15" ht="15" thickBot="1" x14ac:dyDescent="0.4">
      <c r="C1" s="43" t="s">
        <v>13</v>
      </c>
      <c r="D1" s="43"/>
      <c r="E1" s="43"/>
      <c r="I1" s="8"/>
      <c r="J1" s="8"/>
    </row>
    <row r="2" spans="1:15" ht="15" thickBot="1" x14ac:dyDescent="0.4">
      <c r="D2" s="9" t="s">
        <v>1</v>
      </c>
      <c r="E2" s="2">
        <v>0.995</v>
      </c>
      <c r="I2" s="8"/>
      <c r="J2" s="8"/>
    </row>
    <row r="3" spans="1:15" x14ac:dyDescent="0.35">
      <c r="E3" s="7"/>
      <c r="I3" s="8"/>
      <c r="J3" s="8"/>
    </row>
    <row r="4" spans="1:15" x14ac:dyDescent="0.35">
      <c r="E4" s="7"/>
      <c r="I4" s="8"/>
      <c r="J4" s="8">
        <f>0.004975 *(1-0.995)</f>
        <v>2.4875000000000022E-5</v>
      </c>
    </row>
    <row r="5" spans="1:15" x14ac:dyDescent="0.35">
      <c r="I5" s="8"/>
      <c r="J5" s="8"/>
    </row>
    <row r="8" spans="1:15" x14ac:dyDescent="0.35">
      <c r="A8" s="5" t="s">
        <v>2</v>
      </c>
      <c r="B8" s="5" t="s">
        <v>3</v>
      </c>
      <c r="C8" s="5" t="s">
        <v>4</v>
      </c>
      <c r="D8" s="5" t="s">
        <v>5</v>
      </c>
      <c r="E8" s="5" t="s">
        <v>6</v>
      </c>
      <c r="F8" s="5" t="s">
        <v>18</v>
      </c>
      <c r="G8" s="5" t="s">
        <v>7</v>
      </c>
      <c r="I8" s="43" t="s">
        <v>16</v>
      </c>
      <c r="J8" s="43"/>
      <c r="M8" s="7"/>
    </row>
    <row r="9" spans="1:15" ht="15" thickBot="1" x14ac:dyDescent="0.4">
      <c r="A9" s="5"/>
      <c r="B9" s="5"/>
      <c r="C9" s="5"/>
      <c r="D9" s="5"/>
      <c r="E9" s="5"/>
      <c r="F9" s="5"/>
      <c r="G9" s="5"/>
      <c r="I9" s="5"/>
      <c r="J9" s="5"/>
    </row>
    <row r="10" spans="1:15" ht="15" thickBot="1" x14ac:dyDescent="0.4">
      <c r="A10" s="11">
        <v>17899</v>
      </c>
      <c r="B10" s="6">
        <v>112</v>
      </c>
      <c r="C10" s="1">
        <v>112</v>
      </c>
      <c r="F10" s="6">
        <f>C10</f>
        <v>112</v>
      </c>
      <c r="G10" s="12">
        <f t="shared" ref="G10" si="0">(F10-B10)^2</f>
        <v>0</v>
      </c>
      <c r="I10" s="9" t="s">
        <v>8</v>
      </c>
      <c r="J10" s="16">
        <f>SUM(G10:G117)</f>
        <v>71622.487980080768</v>
      </c>
      <c r="O10" s="7"/>
    </row>
    <row r="11" spans="1:15" x14ac:dyDescent="0.35">
      <c r="A11" s="11">
        <v>17930</v>
      </c>
      <c r="B11" s="6">
        <v>118</v>
      </c>
      <c r="C11" s="12">
        <f>B10*$E$2+C10*(1-$E$2)</f>
        <v>112</v>
      </c>
      <c r="F11" s="12">
        <f t="shared" ref="F11:F74" si="1">C11</f>
        <v>112</v>
      </c>
      <c r="G11" s="12">
        <f>(F11-B11)^2</f>
        <v>36</v>
      </c>
      <c r="O11" s="7"/>
    </row>
    <row r="12" spans="1:15" x14ac:dyDescent="0.35">
      <c r="A12" s="11">
        <v>17958</v>
      </c>
      <c r="B12" s="6">
        <v>132</v>
      </c>
      <c r="C12" s="12">
        <f t="shared" ref="C12:C75" si="2">B11*$E$2+C11*(1-$E$2)</f>
        <v>117.97</v>
      </c>
      <c r="F12" s="12">
        <f t="shared" si="1"/>
        <v>117.97</v>
      </c>
      <c r="G12" s="12">
        <f t="shared" ref="G12:G75" si="3">(F12-B12)^2</f>
        <v>196.84090000000003</v>
      </c>
      <c r="O12" s="7"/>
    </row>
    <row r="13" spans="1:15" ht="15" thickBot="1" x14ac:dyDescent="0.4">
      <c r="A13" s="11">
        <v>17989</v>
      </c>
      <c r="B13" s="6">
        <v>129</v>
      </c>
      <c r="C13" s="12">
        <f t="shared" si="2"/>
        <v>131.92985000000002</v>
      </c>
      <c r="F13" s="12">
        <f t="shared" si="1"/>
        <v>131.92985000000002</v>
      </c>
      <c r="G13" s="12">
        <f t="shared" si="3"/>
        <v>8.5840210225000941</v>
      </c>
      <c r="O13" s="7"/>
    </row>
    <row r="14" spans="1:15" x14ac:dyDescent="0.35">
      <c r="A14" s="11">
        <v>18019</v>
      </c>
      <c r="B14" s="6">
        <v>121</v>
      </c>
      <c r="C14" s="12">
        <f t="shared" si="2"/>
        <v>129.01464924999999</v>
      </c>
      <c r="F14" s="12">
        <f t="shared" si="1"/>
        <v>129.01464924999999</v>
      </c>
      <c r="G14" s="12">
        <f t="shared" si="3"/>
        <v>64.23460260052542</v>
      </c>
      <c r="I14" s="34" t="s">
        <v>17</v>
      </c>
      <c r="J14" s="35"/>
      <c r="K14" s="35"/>
      <c r="L14" s="35"/>
      <c r="M14" s="36"/>
      <c r="O14" s="7"/>
    </row>
    <row r="15" spans="1:15" x14ac:dyDescent="0.35">
      <c r="A15" s="11">
        <v>18050</v>
      </c>
      <c r="B15" s="6">
        <v>135</v>
      </c>
      <c r="C15" s="12">
        <f t="shared" si="2"/>
        <v>121.04007324625</v>
      </c>
      <c r="F15" s="12">
        <f t="shared" si="1"/>
        <v>121.04007324625</v>
      </c>
      <c r="G15" s="12">
        <f t="shared" si="3"/>
        <v>194.87955497006493</v>
      </c>
      <c r="I15" s="37"/>
      <c r="J15" s="38"/>
      <c r="K15" s="38"/>
      <c r="L15" s="38"/>
      <c r="M15" s="39"/>
      <c r="O15" s="7"/>
    </row>
    <row r="16" spans="1:15" x14ac:dyDescent="0.35">
      <c r="A16" s="11">
        <v>18080</v>
      </c>
      <c r="B16" s="6">
        <v>148</v>
      </c>
      <c r="C16" s="12">
        <f t="shared" si="2"/>
        <v>134.93020036623125</v>
      </c>
      <c r="F16" s="12">
        <f t="shared" si="1"/>
        <v>134.93020036623125</v>
      </c>
      <c r="G16" s="12">
        <f t="shared" si="3"/>
        <v>170.81966246686181</v>
      </c>
      <c r="I16" s="37"/>
      <c r="J16" s="38"/>
      <c r="K16" s="38"/>
      <c r="L16" s="38"/>
      <c r="M16" s="39"/>
      <c r="O16" s="7"/>
    </row>
    <row r="17" spans="1:15" x14ac:dyDescent="0.35">
      <c r="A17" s="11">
        <v>18111</v>
      </c>
      <c r="B17" s="6">
        <v>148</v>
      </c>
      <c r="C17" s="12">
        <f t="shared" si="2"/>
        <v>147.93465100183116</v>
      </c>
      <c r="F17" s="12">
        <f t="shared" si="1"/>
        <v>147.93465100183116</v>
      </c>
      <c r="G17" s="12">
        <f t="shared" si="3"/>
        <v>4.2704915616715456E-3</v>
      </c>
      <c r="I17" s="37"/>
      <c r="J17" s="38"/>
      <c r="K17" s="38"/>
      <c r="L17" s="38"/>
      <c r="M17" s="39"/>
      <c r="O17" s="7"/>
    </row>
    <row r="18" spans="1:15" x14ac:dyDescent="0.35">
      <c r="A18" s="11">
        <v>18142</v>
      </c>
      <c r="B18" s="6">
        <v>136</v>
      </c>
      <c r="C18" s="12">
        <f t="shared" si="2"/>
        <v>147.99967325500916</v>
      </c>
      <c r="F18" s="12">
        <f t="shared" si="1"/>
        <v>147.99967325500916</v>
      </c>
      <c r="G18" s="12">
        <f t="shared" si="3"/>
        <v>143.99215822698204</v>
      </c>
      <c r="I18" s="37"/>
      <c r="J18" s="38"/>
      <c r="K18" s="38"/>
      <c r="L18" s="38"/>
      <c r="M18" s="39"/>
      <c r="O18" s="7"/>
    </row>
    <row r="19" spans="1:15" x14ac:dyDescent="0.35">
      <c r="A19" s="11">
        <v>18172</v>
      </c>
      <c r="B19" s="6">
        <v>119</v>
      </c>
      <c r="C19" s="12">
        <f t="shared" si="2"/>
        <v>136.05999836627504</v>
      </c>
      <c r="F19" s="12">
        <f t="shared" si="1"/>
        <v>136.05999836627504</v>
      </c>
      <c r="G19" s="12">
        <f t="shared" si="3"/>
        <v>291.04354425730702</v>
      </c>
      <c r="I19" s="37"/>
      <c r="J19" s="38"/>
      <c r="K19" s="38"/>
      <c r="L19" s="38"/>
      <c r="M19" s="39"/>
      <c r="O19" s="7"/>
    </row>
    <row r="20" spans="1:15" x14ac:dyDescent="0.35">
      <c r="A20" s="11">
        <v>18203</v>
      </c>
      <c r="B20" s="6">
        <v>104</v>
      </c>
      <c r="C20" s="12">
        <f t="shared" si="2"/>
        <v>119.08529999183138</v>
      </c>
      <c r="F20" s="12">
        <f t="shared" si="1"/>
        <v>119.08529999183138</v>
      </c>
      <c r="G20" s="12">
        <f t="shared" si="3"/>
        <v>227.56627584354774</v>
      </c>
      <c r="I20" s="37"/>
      <c r="J20" s="38"/>
      <c r="K20" s="38"/>
      <c r="L20" s="38"/>
      <c r="M20" s="39"/>
      <c r="O20" s="7"/>
    </row>
    <row r="21" spans="1:15" x14ac:dyDescent="0.35">
      <c r="A21" s="11">
        <v>18233</v>
      </c>
      <c r="B21" s="6">
        <v>118</v>
      </c>
      <c r="C21" s="12">
        <f t="shared" si="2"/>
        <v>104.07542649995916</v>
      </c>
      <c r="F21" s="12">
        <f t="shared" si="1"/>
        <v>104.07542649995916</v>
      </c>
      <c r="G21" s="12">
        <f t="shared" si="3"/>
        <v>193.8937471580395</v>
      </c>
      <c r="I21" s="37"/>
      <c r="J21" s="38"/>
      <c r="K21" s="38"/>
      <c r="L21" s="38"/>
      <c r="M21" s="39"/>
    </row>
    <row r="22" spans="1:15" x14ac:dyDescent="0.35">
      <c r="A22" s="11">
        <v>18264</v>
      </c>
      <c r="B22" s="6">
        <v>115</v>
      </c>
      <c r="C22" s="12">
        <f t="shared" si="2"/>
        <v>117.9303771324998</v>
      </c>
      <c r="F22" s="12">
        <f t="shared" si="1"/>
        <v>117.9303771324998</v>
      </c>
      <c r="G22" s="12">
        <f t="shared" si="3"/>
        <v>8.5871101386777475</v>
      </c>
      <c r="I22" s="37"/>
      <c r="J22" s="38"/>
      <c r="K22" s="38"/>
      <c r="L22" s="38"/>
      <c r="M22" s="39"/>
    </row>
    <row r="23" spans="1:15" x14ac:dyDescent="0.35">
      <c r="A23" s="11">
        <v>18295</v>
      </c>
      <c r="B23" s="6">
        <v>126</v>
      </c>
      <c r="C23" s="12">
        <f t="shared" si="2"/>
        <v>115.0146518856625</v>
      </c>
      <c r="F23" s="12">
        <f t="shared" si="1"/>
        <v>115.0146518856625</v>
      </c>
      <c r="G23" s="12">
        <f t="shared" si="3"/>
        <v>120.67787319317841</v>
      </c>
      <c r="I23" s="37"/>
      <c r="J23" s="38"/>
      <c r="K23" s="38"/>
      <c r="L23" s="38"/>
      <c r="M23" s="39"/>
    </row>
    <row r="24" spans="1:15" ht="15" thickBot="1" x14ac:dyDescent="0.4">
      <c r="A24" s="11">
        <v>18323</v>
      </c>
      <c r="B24" s="6">
        <v>141</v>
      </c>
      <c r="C24" s="12">
        <f t="shared" si="2"/>
        <v>125.94507325942831</v>
      </c>
      <c r="F24" s="12">
        <f t="shared" si="1"/>
        <v>125.94507325942831</v>
      </c>
      <c r="G24" s="12">
        <f t="shared" si="3"/>
        <v>226.65081916398046</v>
      </c>
      <c r="I24" s="40"/>
      <c r="J24" s="41"/>
      <c r="K24" s="41"/>
      <c r="L24" s="41"/>
      <c r="M24" s="42"/>
    </row>
    <row r="25" spans="1:15" x14ac:dyDescent="0.35">
      <c r="A25" s="11">
        <v>18354</v>
      </c>
      <c r="B25" s="6">
        <v>135</v>
      </c>
      <c r="C25" s="12">
        <f t="shared" si="2"/>
        <v>140.92472536629714</v>
      </c>
      <c r="F25" s="12">
        <f t="shared" si="1"/>
        <v>140.92472536629714</v>
      </c>
      <c r="G25" s="12">
        <f t="shared" si="3"/>
        <v>35.102370666044763</v>
      </c>
    </row>
    <row r="26" spans="1:15" x14ac:dyDescent="0.35">
      <c r="A26" s="11">
        <v>18384</v>
      </c>
      <c r="B26" s="6">
        <v>125</v>
      </c>
      <c r="C26" s="12">
        <f t="shared" si="2"/>
        <v>135.02962362683147</v>
      </c>
      <c r="F26" s="12">
        <f t="shared" si="1"/>
        <v>135.02962362683147</v>
      </c>
      <c r="G26" s="12">
        <f t="shared" si="3"/>
        <v>100.59335009589597</v>
      </c>
    </row>
    <row r="27" spans="1:15" x14ac:dyDescent="0.35">
      <c r="A27" s="11">
        <v>18415</v>
      </c>
      <c r="B27" s="6">
        <v>149</v>
      </c>
      <c r="C27" s="12">
        <f t="shared" si="2"/>
        <v>125.05014811813416</v>
      </c>
      <c r="F27" s="12">
        <f t="shared" si="1"/>
        <v>125.05014811813416</v>
      </c>
      <c r="G27" s="12">
        <f t="shared" si="3"/>
        <v>573.59540516331265</v>
      </c>
    </row>
    <row r="28" spans="1:15" x14ac:dyDescent="0.35">
      <c r="A28" s="11">
        <v>18445</v>
      </c>
      <c r="B28" s="6">
        <v>170</v>
      </c>
      <c r="C28" s="12">
        <f t="shared" si="2"/>
        <v>148.88025074059067</v>
      </c>
      <c r="F28" s="12">
        <f t="shared" si="1"/>
        <v>148.88025074059067</v>
      </c>
      <c r="G28" s="12">
        <f t="shared" si="3"/>
        <v>446.043808780321</v>
      </c>
    </row>
    <row r="29" spans="1:15" x14ac:dyDescent="0.35">
      <c r="A29" s="11">
        <v>18476</v>
      </c>
      <c r="B29" s="6">
        <v>170</v>
      </c>
      <c r="C29" s="12">
        <f t="shared" si="2"/>
        <v>169.89440125370297</v>
      </c>
      <c r="F29" s="12">
        <f t="shared" si="1"/>
        <v>169.89440125370297</v>
      </c>
      <c r="G29" s="12">
        <f t="shared" si="3"/>
        <v>1.1151095219505264E-2</v>
      </c>
    </row>
    <row r="30" spans="1:15" x14ac:dyDescent="0.35">
      <c r="A30" s="11">
        <v>18507</v>
      </c>
      <c r="B30" s="6">
        <v>158</v>
      </c>
      <c r="C30" s="12">
        <f t="shared" si="2"/>
        <v>169.99947200626852</v>
      </c>
      <c r="F30" s="12">
        <f t="shared" si="1"/>
        <v>169.99947200626852</v>
      </c>
      <c r="G30" s="12">
        <f t="shared" si="3"/>
        <v>143.98732842922183</v>
      </c>
    </row>
    <row r="31" spans="1:15" x14ac:dyDescent="0.35">
      <c r="A31" s="11">
        <v>18537</v>
      </c>
      <c r="B31" s="6">
        <v>133</v>
      </c>
      <c r="C31" s="12">
        <f t="shared" si="2"/>
        <v>158.05999736003136</v>
      </c>
      <c r="F31" s="12">
        <f t="shared" si="1"/>
        <v>158.05999736003136</v>
      </c>
      <c r="G31" s="12">
        <f t="shared" si="3"/>
        <v>628.0034676847788</v>
      </c>
    </row>
    <row r="32" spans="1:15" x14ac:dyDescent="0.35">
      <c r="A32" s="11">
        <v>18568</v>
      </c>
      <c r="B32" s="6">
        <v>114</v>
      </c>
      <c r="C32" s="12">
        <f t="shared" si="2"/>
        <v>133.12529998680017</v>
      </c>
      <c r="F32" s="12">
        <f t="shared" si="1"/>
        <v>133.12529998680017</v>
      </c>
      <c r="G32" s="12">
        <f t="shared" si="3"/>
        <v>365.77709958509865</v>
      </c>
    </row>
    <row r="33" spans="1:7" x14ac:dyDescent="0.35">
      <c r="A33" s="11">
        <v>18598</v>
      </c>
      <c r="B33" s="6">
        <v>140</v>
      </c>
      <c r="C33" s="12">
        <f t="shared" si="2"/>
        <v>114.095626499934</v>
      </c>
      <c r="F33" s="12">
        <f t="shared" si="1"/>
        <v>114.095626499934</v>
      </c>
      <c r="G33" s="12">
        <f t="shared" si="3"/>
        <v>671.03656643092165</v>
      </c>
    </row>
    <row r="34" spans="1:7" x14ac:dyDescent="0.35">
      <c r="A34" s="11">
        <v>18629</v>
      </c>
      <c r="B34" s="6">
        <v>145</v>
      </c>
      <c r="C34" s="12">
        <f t="shared" si="2"/>
        <v>139.87047813249967</v>
      </c>
      <c r="F34" s="12">
        <f t="shared" si="1"/>
        <v>139.87047813249967</v>
      </c>
      <c r="G34" s="12">
        <f t="shared" si="3"/>
        <v>26.311994589164073</v>
      </c>
    </row>
    <row r="35" spans="1:7" x14ac:dyDescent="0.35">
      <c r="A35" s="11">
        <v>18660</v>
      </c>
      <c r="B35" s="6">
        <v>150</v>
      </c>
      <c r="C35" s="12">
        <f t="shared" si="2"/>
        <v>144.97435239066252</v>
      </c>
      <c r="F35" s="12">
        <f t="shared" si="1"/>
        <v>144.97435239066252</v>
      </c>
      <c r="G35" s="12">
        <f t="shared" si="3"/>
        <v>25.257133893239558</v>
      </c>
    </row>
    <row r="36" spans="1:7" x14ac:dyDescent="0.35">
      <c r="A36" s="11">
        <v>18688</v>
      </c>
      <c r="B36" s="6">
        <v>178</v>
      </c>
      <c r="C36" s="12">
        <f t="shared" si="2"/>
        <v>149.97487176195332</v>
      </c>
      <c r="F36" s="12">
        <f t="shared" si="1"/>
        <v>149.97487176195332</v>
      </c>
      <c r="G36" s="12">
        <f t="shared" si="3"/>
        <v>785.4078127589612</v>
      </c>
    </row>
    <row r="37" spans="1:7" x14ac:dyDescent="0.35">
      <c r="A37" s="11">
        <v>18719</v>
      </c>
      <c r="B37" s="6">
        <v>163</v>
      </c>
      <c r="C37" s="12">
        <f t="shared" si="2"/>
        <v>177.85987435880975</v>
      </c>
      <c r="F37" s="12">
        <f t="shared" si="1"/>
        <v>177.85987435880975</v>
      </c>
      <c r="G37" s="12">
        <f t="shared" si="3"/>
        <v>220.81586595961141</v>
      </c>
    </row>
    <row r="38" spans="1:7" x14ac:dyDescent="0.35">
      <c r="A38" s="11">
        <v>18749</v>
      </c>
      <c r="B38" s="6">
        <v>172</v>
      </c>
      <c r="C38" s="12">
        <f t="shared" si="2"/>
        <v>163.07429937179404</v>
      </c>
      <c r="F38" s="12">
        <f t="shared" si="1"/>
        <v>163.07429937179404</v>
      </c>
      <c r="G38" s="12">
        <f t="shared" si="3"/>
        <v>79.668131704356256</v>
      </c>
    </row>
    <row r="39" spans="1:7" x14ac:dyDescent="0.35">
      <c r="A39" s="11">
        <v>18780</v>
      </c>
      <c r="B39" s="6">
        <v>178</v>
      </c>
      <c r="C39" s="12">
        <f t="shared" si="2"/>
        <v>171.95537149685896</v>
      </c>
      <c r="F39" s="12">
        <f t="shared" si="1"/>
        <v>171.95537149685896</v>
      </c>
      <c r="G39" s="12">
        <f t="shared" si="3"/>
        <v>36.537533740985104</v>
      </c>
    </row>
    <row r="40" spans="1:7" x14ac:dyDescent="0.35">
      <c r="A40" s="11">
        <v>18810</v>
      </c>
      <c r="B40" s="6">
        <v>199</v>
      </c>
      <c r="C40" s="12">
        <f t="shared" si="2"/>
        <v>177.96977685748428</v>
      </c>
      <c r="F40" s="12">
        <f t="shared" si="1"/>
        <v>177.96977685748428</v>
      </c>
      <c r="G40" s="12">
        <f t="shared" si="3"/>
        <v>442.27028542400387</v>
      </c>
    </row>
    <row r="41" spans="1:7" x14ac:dyDescent="0.35">
      <c r="A41" s="11">
        <v>18841</v>
      </c>
      <c r="B41" s="6">
        <v>199</v>
      </c>
      <c r="C41" s="12">
        <f t="shared" si="2"/>
        <v>198.89484888428743</v>
      </c>
      <c r="F41" s="12">
        <f t="shared" si="1"/>
        <v>198.89484888428743</v>
      </c>
      <c r="G41" s="12">
        <f t="shared" si="3"/>
        <v>1.1056757135598932E-2</v>
      </c>
    </row>
    <row r="42" spans="1:7" x14ac:dyDescent="0.35">
      <c r="A42" s="11">
        <v>18872</v>
      </c>
      <c r="B42" s="6">
        <v>184</v>
      </c>
      <c r="C42" s="12">
        <f t="shared" si="2"/>
        <v>198.99947424442144</v>
      </c>
      <c r="F42" s="12">
        <f t="shared" si="1"/>
        <v>198.99947424442144</v>
      </c>
      <c r="G42" s="12">
        <f t="shared" si="3"/>
        <v>224.98422760906197</v>
      </c>
    </row>
    <row r="43" spans="1:7" x14ac:dyDescent="0.35">
      <c r="A43" s="11">
        <v>18902</v>
      </c>
      <c r="B43" s="6">
        <v>162</v>
      </c>
      <c r="C43" s="12">
        <f t="shared" si="2"/>
        <v>184.07499737122211</v>
      </c>
      <c r="F43" s="12">
        <f t="shared" si="1"/>
        <v>184.07499737122211</v>
      </c>
      <c r="G43" s="12">
        <f t="shared" si="3"/>
        <v>487.3055089394631</v>
      </c>
    </row>
    <row r="44" spans="1:7" x14ac:dyDescent="0.35">
      <c r="A44" s="11">
        <v>18933</v>
      </c>
      <c r="B44" s="6">
        <v>146</v>
      </c>
      <c r="C44" s="12">
        <f t="shared" si="2"/>
        <v>162.1103749868561</v>
      </c>
      <c r="F44" s="12">
        <f t="shared" si="1"/>
        <v>162.1103749868561</v>
      </c>
      <c r="G44" s="12">
        <f t="shared" si="3"/>
        <v>259.5441822171187</v>
      </c>
    </row>
    <row r="45" spans="1:7" x14ac:dyDescent="0.35">
      <c r="A45" s="11">
        <v>18963</v>
      </c>
      <c r="B45" s="6">
        <v>166</v>
      </c>
      <c r="C45" s="12">
        <f t="shared" si="2"/>
        <v>146.08055187493429</v>
      </c>
      <c r="F45" s="12">
        <f t="shared" si="1"/>
        <v>146.08055187493429</v>
      </c>
      <c r="G45" s="12">
        <f t="shared" si="3"/>
        <v>396.78441360718398</v>
      </c>
    </row>
    <row r="46" spans="1:7" x14ac:dyDescent="0.35">
      <c r="A46" s="11">
        <v>18994</v>
      </c>
      <c r="B46" s="6">
        <v>171</v>
      </c>
      <c r="C46" s="12">
        <f t="shared" si="2"/>
        <v>165.90040275937466</v>
      </c>
      <c r="F46" s="12">
        <f t="shared" si="1"/>
        <v>165.90040275937466</v>
      </c>
      <c r="G46" s="12">
        <f t="shared" si="3"/>
        <v>26.005892016593613</v>
      </c>
    </row>
    <row r="47" spans="1:7" x14ac:dyDescent="0.35">
      <c r="A47" s="11">
        <v>19025</v>
      </c>
      <c r="B47" s="6">
        <v>180</v>
      </c>
      <c r="C47" s="12">
        <f t="shared" si="2"/>
        <v>170.97450201379689</v>
      </c>
      <c r="F47" s="12">
        <f t="shared" si="1"/>
        <v>170.97450201379689</v>
      </c>
      <c r="G47" s="12">
        <f t="shared" si="3"/>
        <v>81.459613898956334</v>
      </c>
    </row>
    <row r="48" spans="1:7" x14ac:dyDescent="0.35">
      <c r="A48" s="11">
        <v>19054</v>
      </c>
      <c r="B48" s="6">
        <v>193</v>
      </c>
      <c r="C48" s="12">
        <f t="shared" si="2"/>
        <v>179.95487251006898</v>
      </c>
      <c r="F48" s="12">
        <f t="shared" si="1"/>
        <v>179.95487251006898</v>
      </c>
      <c r="G48" s="12">
        <f t="shared" si="3"/>
        <v>170.17535122855398</v>
      </c>
    </row>
    <row r="49" spans="1:7" x14ac:dyDescent="0.35">
      <c r="A49" s="11">
        <v>19085</v>
      </c>
      <c r="B49" s="6">
        <v>181</v>
      </c>
      <c r="C49" s="12">
        <f t="shared" si="2"/>
        <v>192.93477436255034</v>
      </c>
      <c r="F49" s="12">
        <f t="shared" si="1"/>
        <v>192.93477436255034</v>
      </c>
      <c r="G49" s="12">
        <f t="shared" si="3"/>
        <v>142.43883908498893</v>
      </c>
    </row>
    <row r="50" spans="1:7" x14ac:dyDescent="0.35">
      <c r="A50" s="11">
        <v>19115</v>
      </c>
      <c r="B50" s="6">
        <v>183</v>
      </c>
      <c r="C50" s="12">
        <f t="shared" si="2"/>
        <v>181.05967387181275</v>
      </c>
      <c r="F50" s="12">
        <f t="shared" si="1"/>
        <v>181.05967387181275</v>
      </c>
      <c r="G50" s="12">
        <f t="shared" si="3"/>
        <v>3.7648654837261311</v>
      </c>
    </row>
    <row r="51" spans="1:7" x14ac:dyDescent="0.35">
      <c r="A51" s="11">
        <v>19146</v>
      </c>
      <c r="B51" s="6">
        <v>218</v>
      </c>
      <c r="C51" s="12">
        <f t="shared" si="2"/>
        <v>182.99029836935907</v>
      </c>
      <c r="F51" s="12">
        <f t="shared" si="1"/>
        <v>182.99029836935907</v>
      </c>
      <c r="G51" s="12">
        <f t="shared" si="3"/>
        <v>1225.6792082665024</v>
      </c>
    </row>
    <row r="52" spans="1:7" x14ac:dyDescent="0.35">
      <c r="A52" s="11">
        <v>19176</v>
      </c>
      <c r="B52" s="6">
        <v>230</v>
      </c>
      <c r="C52" s="12">
        <f t="shared" si="2"/>
        <v>217.8249514918468</v>
      </c>
      <c r="F52" s="12">
        <f t="shared" si="1"/>
        <v>217.8249514918468</v>
      </c>
      <c r="G52" s="12">
        <f t="shared" si="3"/>
        <v>148.23180617588338</v>
      </c>
    </row>
    <row r="53" spans="1:7" x14ac:dyDescent="0.35">
      <c r="A53" s="11">
        <v>19207</v>
      </c>
      <c r="B53" s="6">
        <v>242</v>
      </c>
      <c r="C53" s="12">
        <f t="shared" si="2"/>
        <v>229.93912475745924</v>
      </c>
      <c r="F53" s="12">
        <f t="shared" si="1"/>
        <v>229.93912475745924</v>
      </c>
      <c r="G53" s="12">
        <f t="shared" si="3"/>
        <v>145.46471161613263</v>
      </c>
    </row>
    <row r="54" spans="1:7" x14ac:dyDescent="0.35">
      <c r="A54" s="11">
        <v>19238</v>
      </c>
      <c r="B54" s="6">
        <v>209</v>
      </c>
      <c r="C54" s="12">
        <f t="shared" si="2"/>
        <v>241.93969562378729</v>
      </c>
      <c r="F54" s="12">
        <f t="shared" si="1"/>
        <v>241.93969562378729</v>
      </c>
      <c r="G54" s="12">
        <f t="shared" si="3"/>
        <v>1085.0235477877513</v>
      </c>
    </row>
    <row r="55" spans="1:7" x14ac:dyDescent="0.35">
      <c r="A55" s="11">
        <v>19268</v>
      </c>
      <c r="B55" s="6">
        <v>191</v>
      </c>
      <c r="C55" s="12">
        <f t="shared" si="2"/>
        <v>209.16469847811894</v>
      </c>
      <c r="F55" s="12">
        <f t="shared" si="1"/>
        <v>209.16469847811894</v>
      </c>
      <c r="G55" s="12">
        <f t="shared" si="3"/>
        <v>329.95627080097637</v>
      </c>
    </row>
    <row r="56" spans="1:7" x14ac:dyDescent="0.35">
      <c r="A56" s="11">
        <v>19299</v>
      </c>
      <c r="B56" s="6">
        <v>172</v>
      </c>
      <c r="C56" s="12">
        <f t="shared" si="2"/>
        <v>191.09082349239057</v>
      </c>
      <c r="F56" s="12">
        <f t="shared" si="1"/>
        <v>191.09082349239057</v>
      </c>
      <c r="G56" s="12">
        <f t="shared" si="3"/>
        <v>364.45954161761165</v>
      </c>
    </row>
    <row r="57" spans="1:7" x14ac:dyDescent="0.35">
      <c r="A57" s="11">
        <v>19329</v>
      </c>
      <c r="B57" s="6">
        <v>194</v>
      </c>
      <c r="C57" s="12">
        <f t="shared" si="2"/>
        <v>172.09545411746194</v>
      </c>
      <c r="F57" s="12">
        <f t="shared" si="1"/>
        <v>172.09545411746194</v>
      </c>
      <c r="G57" s="12">
        <f t="shared" si="3"/>
        <v>479.80913032021505</v>
      </c>
    </row>
    <row r="58" spans="1:7" x14ac:dyDescent="0.35">
      <c r="A58" s="11">
        <v>19360</v>
      </c>
      <c r="B58" s="6">
        <v>196</v>
      </c>
      <c r="C58" s="12">
        <f t="shared" si="2"/>
        <v>193.89047727058733</v>
      </c>
      <c r="F58" s="12">
        <f t="shared" si="1"/>
        <v>193.89047727058733</v>
      </c>
      <c r="G58" s="12">
        <f t="shared" si="3"/>
        <v>4.4500861459086991</v>
      </c>
    </row>
    <row r="59" spans="1:7" x14ac:dyDescent="0.35">
      <c r="A59" s="11">
        <v>19391</v>
      </c>
      <c r="B59" s="6">
        <v>196</v>
      </c>
      <c r="C59" s="12">
        <f t="shared" si="2"/>
        <v>195.98945238635295</v>
      </c>
      <c r="F59" s="12">
        <f t="shared" si="1"/>
        <v>195.98945238635295</v>
      </c>
      <c r="G59" s="12">
        <f t="shared" si="3"/>
        <v>1.1125215364740571E-4</v>
      </c>
    </row>
    <row r="60" spans="1:7" x14ac:dyDescent="0.35">
      <c r="A60" s="11">
        <v>19419</v>
      </c>
      <c r="B60" s="6">
        <v>236</v>
      </c>
      <c r="C60" s="12">
        <f t="shared" si="2"/>
        <v>195.99994726193177</v>
      </c>
      <c r="F60" s="12">
        <f t="shared" si="1"/>
        <v>195.99994726193177</v>
      </c>
      <c r="G60" s="12">
        <f t="shared" si="3"/>
        <v>1600.00421904824</v>
      </c>
    </row>
    <row r="61" spans="1:7" x14ac:dyDescent="0.35">
      <c r="A61" s="11">
        <v>19450</v>
      </c>
      <c r="B61" s="6">
        <v>235</v>
      </c>
      <c r="C61" s="12">
        <f t="shared" si="2"/>
        <v>235.79999973630964</v>
      </c>
      <c r="F61" s="12">
        <f t="shared" si="1"/>
        <v>235.79999973630964</v>
      </c>
      <c r="G61" s="12">
        <f t="shared" si="3"/>
        <v>0.63999957809550001</v>
      </c>
    </row>
    <row r="62" spans="1:7" x14ac:dyDescent="0.35">
      <c r="A62" s="11">
        <v>19480</v>
      </c>
      <c r="B62" s="6">
        <v>229</v>
      </c>
      <c r="C62" s="12">
        <f t="shared" si="2"/>
        <v>235.00399999868154</v>
      </c>
      <c r="F62" s="12">
        <f t="shared" si="1"/>
        <v>235.00399999868154</v>
      </c>
      <c r="G62" s="12">
        <f t="shared" si="3"/>
        <v>36.048015984167883</v>
      </c>
    </row>
    <row r="63" spans="1:7" x14ac:dyDescent="0.35">
      <c r="A63" s="11">
        <v>19511</v>
      </c>
      <c r="B63" s="6">
        <v>243</v>
      </c>
      <c r="C63" s="12">
        <f t="shared" si="2"/>
        <v>229.03001999999339</v>
      </c>
      <c r="F63" s="12">
        <f t="shared" si="1"/>
        <v>229.03001999999339</v>
      </c>
      <c r="G63" s="12">
        <f t="shared" si="3"/>
        <v>195.16034120058481</v>
      </c>
    </row>
    <row r="64" spans="1:7" x14ac:dyDescent="0.35">
      <c r="A64" s="11">
        <v>19541</v>
      </c>
      <c r="B64" s="6">
        <v>264</v>
      </c>
      <c r="C64" s="12">
        <f t="shared" si="2"/>
        <v>242.93015009999996</v>
      </c>
      <c r="F64" s="12">
        <f t="shared" si="1"/>
        <v>242.93015009999996</v>
      </c>
      <c r="G64" s="12">
        <f t="shared" si="3"/>
        <v>443.93857480853154</v>
      </c>
    </row>
    <row r="65" spans="1:7" x14ac:dyDescent="0.35">
      <c r="A65" s="11">
        <v>19572</v>
      </c>
      <c r="B65" s="6">
        <v>272</v>
      </c>
      <c r="C65" s="12">
        <f t="shared" si="2"/>
        <v>263.89465075050003</v>
      </c>
      <c r="F65" s="12">
        <f t="shared" si="1"/>
        <v>263.89465075050003</v>
      </c>
      <c r="G65" s="12">
        <f t="shared" si="3"/>
        <v>65.696686456369662</v>
      </c>
    </row>
    <row r="66" spans="1:7" x14ac:dyDescent="0.35">
      <c r="A66" s="11">
        <v>19603</v>
      </c>
      <c r="B66" s="6">
        <v>237</v>
      </c>
      <c r="C66" s="12">
        <f t="shared" si="2"/>
        <v>271.95947325375249</v>
      </c>
      <c r="F66" s="12">
        <f t="shared" si="1"/>
        <v>271.95947325375249</v>
      </c>
      <c r="G66" s="12">
        <f t="shared" si="3"/>
        <v>1222.1647701798358</v>
      </c>
    </row>
    <row r="67" spans="1:7" x14ac:dyDescent="0.35">
      <c r="A67" s="11">
        <v>19633</v>
      </c>
      <c r="B67" s="6">
        <v>211</v>
      </c>
      <c r="C67" s="12">
        <f t="shared" si="2"/>
        <v>237.17479736626876</v>
      </c>
      <c r="F67" s="12">
        <f t="shared" si="1"/>
        <v>237.17479736626876</v>
      </c>
      <c r="G67" s="12">
        <f t="shared" si="3"/>
        <v>685.12001716523014</v>
      </c>
    </row>
    <row r="68" spans="1:7" x14ac:dyDescent="0.35">
      <c r="A68" s="11">
        <v>19664</v>
      </c>
      <c r="B68" s="6">
        <v>180</v>
      </c>
      <c r="C68" s="12">
        <f t="shared" si="2"/>
        <v>211.13087398683135</v>
      </c>
      <c r="F68" s="12">
        <f t="shared" si="1"/>
        <v>211.13087398683135</v>
      </c>
      <c r="G68" s="12">
        <f t="shared" si="3"/>
        <v>969.13131518397267</v>
      </c>
    </row>
    <row r="69" spans="1:7" x14ac:dyDescent="0.35">
      <c r="A69" s="11">
        <v>19694</v>
      </c>
      <c r="B69" s="6">
        <v>201</v>
      </c>
      <c r="C69" s="12">
        <f t="shared" si="2"/>
        <v>180.15565436993415</v>
      </c>
      <c r="F69" s="12">
        <f t="shared" si="1"/>
        <v>180.15565436993415</v>
      </c>
      <c r="G69" s="12">
        <f t="shared" si="3"/>
        <v>434.48674474564513</v>
      </c>
    </row>
    <row r="70" spans="1:7" x14ac:dyDescent="0.35">
      <c r="A70" s="11">
        <v>19725</v>
      </c>
      <c r="B70" s="6">
        <v>204</v>
      </c>
      <c r="C70" s="12">
        <f t="shared" si="2"/>
        <v>200.89577827184968</v>
      </c>
      <c r="F70" s="12">
        <f t="shared" si="1"/>
        <v>200.89577827184968</v>
      </c>
      <c r="G70" s="12">
        <f t="shared" si="3"/>
        <v>9.6361925375205679</v>
      </c>
    </row>
    <row r="71" spans="1:7" x14ac:dyDescent="0.35">
      <c r="A71" s="11">
        <v>19756</v>
      </c>
      <c r="B71" s="6">
        <v>188</v>
      </c>
      <c r="C71" s="12">
        <f t="shared" si="2"/>
        <v>203.98447889135923</v>
      </c>
      <c r="F71" s="12">
        <f t="shared" si="1"/>
        <v>203.98447889135923</v>
      </c>
      <c r="G71" s="12">
        <f t="shared" si="3"/>
        <v>255.50356542830883</v>
      </c>
    </row>
    <row r="72" spans="1:7" x14ac:dyDescent="0.35">
      <c r="A72" s="11">
        <v>19784</v>
      </c>
      <c r="B72" s="6">
        <v>235</v>
      </c>
      <c r="C72" s="12">
        <f t="shared" si="2"/>
        <v>188.07992239445679</v>
      </c>
      <c r="F72" s="12">
        <f t="shared" si="1"/>
        <v>188.07992239445679</v>
      </c>
      <c r="G72" s="12">
        <f t="shared" si="3"/>
        <v>2201.4936825101977</v>
      </c>
    </row>
    <row r="73" spans="1:7" x14ac:dyDescent="0.35">
      <c r="A73" s="11">
        <v>19815</v>
      </c>
      <c r="B73" s="6">
        <v>227</v>
      </c>
      <c r="C73" s="12">
        <f t="shared" si="2"/>
        <v>234.76539961197227</v>
      </c>
      <c r="F73" s="12">
        <f t="shared" si="1"/>
        <v>234.76539961197227</v>
      </c>
      <c r="G73" s="12">
        <f t="shared" si="3"/>
        <v>60.30143113361909</v>
      </c>
    </row>
    <row r="74" spans="1:7" x14ac:dyDescent="0.35">
      <c r="A74" s="11">
        <v>19845</v>
      </c>
      <c r="B74" s="6">
        <v>234</v>
      </c>
      <c r="C74" s="12">
        <f t="shared" si="2"/>
        <v>227.03882699805987</v>
      </c>
      <c r="F74" s="12">
        <f t="shared" si="1"/>
        <v>227.03882699805987</v>
      </c>
      <c r="G74" s="12">
        <f t="shared" si="3"/>
        <v>48.457929562940095</v>
      </c>
    </row>
    <row r="75" spans="1:7" x14ac:dyDescent="0.35">
      <c r="A75" s="11">
        <v>19876</v>
      </c>
      <c r="B75" s="6">
        <v>264</v>
      </c>
      <c r="C75" s="12">
        <f t="shared" si="2"/>
        <v>233.96519413499033</v>
      </c>
      <c r="F75" s="12">
        <f t="shared" ref="F75:F117" si="4">C75</f>
        <v>233.96519413499033</v>
      </c>
      <c r="G75" s="12">
        <f t="shared" si="3"/>
        <v>902.08956334881941</v>
      </c>
    </row>
    <row r="76" spans="1:7" x14ac:dyDescent="0.35">
      <c r="A76" s="11">
        <v>19906</v>
      </c>
      <c r="B76" s="6">
        <v>302</v>
      </c>
      <c r="C76" s="12">
        <f t="shared" ref="C76:C117" si="5">B75*$E$2+C75*(1-$E$2)</f>
        <v>263.84982597067494</v>
      </c>
      <c r="F76" s="12">
        <f t="shared" si="4"/>
        <v>263.84982597067494</v>
      </c>
      <c r="G76" s="12">
        <f t="shared" ref="G76:G117" si="6">(F76-B76)^2</f>
        <v>1455.4357784677882</v>
      </c>
    </row>
    <row r="77" spans="1:7" x14ac:dyDescent="0.35">
      <c r="A77" s="11">
        <v>19937</v>
      </c>
      <c r="B77" s="6">
        <v>293</v>
      </c>
      <c r="C77" s="12">
        <f t="shared" si="5"/>
        <v>301.80924912985341</v>
      </c>
      <c r="F77" s="12">
        <f t="shared" si="4"/>
        <v>301.80924912985341</v>
      </c>
      <c r="G77" s="12">
        <f t="shared" si="6"/>
        <v>77.602870231823104</v>
      </c>
    </row>
    <row r="78" spans="1:7" x14ac:dyDescent="0.35">
      <c r="A78" s="11">
        <v>19968</v>
      </c>
      <c r="B78" s="6">
        <v>259</v>
      </c>
      <c r="C78" s="12">
        <f t="shared" si="5"/>
        <v>293.04404624564927</v>
      </c>
      <c r="F78" s="12">
        <f t="shared" si="4"/>
        <v>293.04404624564927</v>
      </c>
      <c r="G78" s="12">
        <f t="shared" si="6"/>
        <v>1158.9970847759062</v>
      </c>
    </row>
    <row r="79" spans="1:7" x14ac:dyDescent="0.35">
      <c r="A79" s="11">
        <v>19998</v>
      </c>
      <c r="B79" s="6">
        <v>229</v>
      </c>
      <c r="C79" s="12">
        <f t="shared" si="5"/>
        <v>259.17022023122826</v>
      </c>
      <c r="F79" s="12">
        <f t="shared" si="4"/>
        <v>259.17022023122826</v>
      </c>
      <c r="G79" s="12">
        <f t="shared" si="6"/>
        <v>910.2421888008148</v>
      </c>
    </row>
    <row r="80" spans="1:7" x14ac:dyDescent="0.35">
      <c r="A80" s="11">
        <v>20029</v>
      </c>
      <c r="B80" s="6">
        <v>203</v>
      </c>
      <c r="C80" s="12">
        <f t="shared" si="5"/>
        <v>229.15085110115612</v>
      </c>
      <c r="F80" s="12">
        <f t="shared" si="4"/>
        <v>229.15085110115612</v>
      </c>
      <c r="G80" s="12">
        <f t="shared" si="6"/>
        <v>683.86701331483835</v>
      </c>
    </row>
    <row r="81" spans="1:7" x14ac:dyDescent="0.35">
      <c r="A81" s="11">
        <v>20059</v>
      </c>
      <c r="B81" s="6">
        <v>229</v>
      </c>
      <c r="C81" s="12">
        <f t="shared" si="5"/>
        <v>203.13075425550576</v>
      </c>
      <c r="F81" s="12">
        <f t="shared" si="4"/>
        <v>203.13075425550576</v>
      </c>
      <c r="G81" s="12">
        <f t="shared" si="6"/>
        <v>669.21787538903311</v>
      </c>
    </row>
    <row r="82" spans="1:7" x14ac:dyDescent="0.35">
      <c r="A82" s="11">
        <v>20090</v>
      </c>
      <c r="B82" s="6">
        <v>242</v>
      </c>
      <c r="C82" s="12">
        <f t="shared" si="5"/>
        <v>228.87065377127752</v>
      </c>
      <c r="F82" s="12">
        <f t="shared" si="4"/>
        <v>228.87065377127752</v>
      </c>
      <c r="G82" s="12">
        <f t="shared" si="6"/>
        <v>172.37973239366929</v>
      </c>
    </row>
    <row r="83" spans="1:7" x14ac:dyDescent="0.35">
      <c r="A83" s="11">
        <v>20121</v>
      </c>
      <c r="B83" s="6">
        <v>233</v>
      </c>
      <c r="C83" s="12">
        <f t="shared" si="5"/>
        <v>241.93435326885637</v>
      </c>
      <c r="F83" s="12">
        <f t="shared" si="4"/>
        <v>241.93435326885637</v>
      </c>
      <c r="G83" s="12">
        <f t="shared" si="6"/>
        <v>79.822668332724504</v>
      </c>
    </row>
    <row r="84" spans="1:7" x14ac:dyDescent="0.35">
      <c r="A84" s="11">
        <v>20149</v>
      </c>
      <c r="B84" s="6">
        <v>267</v>
      </c>
      <c r="C84" s="12">
        <f t="shared" si="5"/>
        <v>233.04467176634429</v>
      </c>
      <c r="F84" s="12">
        <f t="shared" si="4"/>
        <v>233.04467176634429</v>
      </c>
      <c r="G84" s="12">
        <f t="shared" si="6"/>
        <v>1152.9643154552964</v>
      </c>
    </row>
    <row r="85" spans="1:7" x14ac:dyDescent="0.35">
      <c r="A85" s="11">
        <v>20180</v>
      </c>
      <c r="B85" s="6">
        <v>269</v>
      </c>
      <c r="C85" s="12">
        <f t="shared" si="5"/>
        <v>266.83022335883174</v>
      </c>
      <c r="F85" s="12">
        <f t="shared" si="4"/>
        <v>266.83022335883174</v>
      </c>
      <c r="G85" s="12">
        <f t="shared" si="6"/>
        <v>4.707930672559395</v>
      </c>
    </row>
    <row r="86" spans="1:7" x14ac:dyDescent="0.35">
      <c r="A86" s="11">
        <v>20210</v>
      </c>
      <c r="B86" s="6">
        <v>270</v>
      </c>
      <c r="C86" s="12">
        <f t="shared" si="5"/>
        <v>268.98915111679412</v>
      </c>
      <c r="F86" s="12">
        <f t="shared" si="4"/>
        <v>268.98915111679412</v>
      </c>
      <c r="G86" s="12">
        <f t="shared" si="6"/>
        <v>1.0218154646785771</v>
      </c>
    </row>
    <row r="87" spans="1:7" x14ac:dyDescent="0.35">
      <c r="A87" s="11">
        <v>20241</v>
      </c>
      <c r="B87" s="6">
        <v>315</v>
      </c>
      <c r="C87" s="12">
        <f t="shared" si="5"/>
        <v>269.99494575558396</v>
      </c>
      <c r="F87" s="12">
        <f t="shared" si="4"/>
        <v>269.99494575558396</v>
      </c>
      <c r="G87" s="12">
        <f t="shared" si="6"/>
        <v>2025.4549075428306</v>
      </c>
    </row>
    <row r="88" spans="1:7" x14ac:dyDescent="0.35">
      <c r="A88" s="11">
        <v>20271</v>
      </c>
      <c r="B88" s="6">
        <v>364</v>
      </c>
      <c r="C88" s="12">
        <f t="shared" si="5"/>
        <v>314.77497472877792</v>
      </c>
      <c r="F88" s="12">
        <f t="shared" si="4"/>
        <v>314.77497472877792</v>
      </c>
      <c r="G88" s="12">
        <f t="shared" si="6"/>
        <v>2423.1031129524522</v>
      </c>
    </row>
    <row r="89" spans="1:7" x14ac:dyDescent="0.35">
      <c r="A89" s="11">
        <v>20302</v>
      </c>
      <c r="B89" s="6">
        <v>347</v>
      </c>
      <c r="C89" s="12">
        <f t="shared" si="5"/>
        <v>363.75387487364389</v>
      </c>
      <c r="F89" s="12">
        <f t="shared" si="4"/>
        <v>363.75387487364389</v>
      </c>
      <c r="G89" s="12">
        <f t="shared" si="6"/>
        <v>280.69232328171626</v>
      </c>
    </row>
    <row r="90" spans="1:7" x14ac:dyDescent="0.35">
      <c r="A90" s="11">
        <v>20333</v>
      </c>
      <c r="B90" s="6">
        <v>312</v>
      </c>
      <c r="C90" s="12">
        <f t="shared" si="5"/>
        <v>347.08376937436822</v>
      </c>
      <c r="F90" s="12">
        <f t="shared" si="4"/>
        <v>347.08376937436822</v>
      </c>
      <c r="G90" s="12">
        <f t="shared" si="6"/>
        <v>1230.8708735138573</v>
      </c>
    </row>
    <row r="91" spans="1:7" x14ac:dyDescent="0.35">
      <c r="A91" s="11">
        <v>20363</v>
      </c>
      <c r="B91" s="6">
        <v>274</v>
      </c>
      <c r="C91" s="12">
        <f t="shared" si="5"/>
        <v>312.17541884687182</v>
      </c>
      <c r="F91" s="12">
        <f t="shared" si="4"/>
        <v>312.17541884687182</v>
      </c>
      <c r="G91" s="12">
        <f t="shared" si="6"/>
        <v>1457.3626041340963</v>
      </c>
    </row>
    <row r="92" spans="1:7" x14ac:dyDescent="0.35">
      <c r="A92" s="11">
        <v>20394</v>
      </c>
      <c r="B92" s="6">
        <v>237</v>
      </c>
      <c r="C92" s="12">
        <f t="shared" si="5"/>
        <v>274.19087709423434</v>
      </c>
      <c r="F92" s="12">
        <f t="shared" si="4"/>
        <v>274.19087709423434</v>
      </c>
      <c r="G92" s="12">
        <f t="shared" si="6"/>
        <v>1383.1613390384443</v>
      </c>
    </row>
    <row r="93" spans="1:7" x14ac:dyDescent="0.35">
      <c r="A93" s="11">
        <v>20424</v>
      </c>
      <c r="B93" s="6">
        <v>278</v>
      </c>
      <c r="C93" s="12">
        <f t="shared" si="5"/>
        <v>237.18595438547118</v>
      </c>
      <c r="F93" s="12">
        <f t="shared" si="4"/>
        <v>237.18595438547118</v>
      </c>
      <c r="G93" s="12">
        <f t="shared" si="6"/>
        <v>1665.7863194248393</v>
      </c>
    </row>
    <row r="94" spans="1:7" x14ac:dyDescent="0.35">
      <c r="A94" s="11">
        <v>20455</v>
      </c>
      <c r="B94" s="6">
        <v>284</v>
      </c>
      <c r="C94" s="12">
        <f t="shared" si="5"/>
        <v>277.79592977192738</v>
      </c>
      <c r="F94" s="12">
        <f t="shared" si="4"/>
        <v>277.79592977192738</v>
      </c>
      <c r="G94" s="12">
        <f t="shared" si="6"/>
        <v>38.490487394857098</v>
      </c>
    </row>
    <row r="95" spans="1:7" x14ac:dyDescent="0.35">
      <c r="A95" s="11">
        <v>20486</v>
      </c>
      <c r="B95" s="6">
        <v>277</v>
      </c>
      <c r="C95" s="12">
        <f t="shared" si="5"/>
        <v>283.9689796488596</v>
      </c>
      <c r="F95" s="12">
        <f t="shared" si="4"/>
        <v>283.9689796488596</v>
      </c>
      <c r="G95" s="12">
        <f t="shared" si="6"/>
        <v>48.566677346219294</v>
      </c>
    </row>
    <row r="96" spans="1:7" x14ac:dyDescent="0.35">
      <c r="A96" s="11">
        <v>20515</v>
      </c>
      <c r="B96" s="6">
        <v>317</v>
      </c>
      <c r="C96" s="12">
        <f t="shared" si="5"/>
        <v>277.03484489824433</v>
      </c>
      <c r="F96" s="12">
        <f t="shared" si="4"/>
        <v>277.03484489824433</v>
      </c>
      <c r="G96" s="12">
        <f t="shared" si="6"/>
        <v>1597.2136223073871</v>
      </c>
    </row>
    <row r="97" spans="1:7" x14ac:dyDescent="0.35">
      <c r="A97" s="11">
        <v>20546</v>
      </c>
      <c r="B97" s="6">
        <v>313</v>
      </c>
      <c r="C97" s="12">
        <f t="shared" si="5"/>
        <v>316.80017422449123</v>
      </c>
      <c r="F97" s="12">
        <f t="shared" si="4"/>
        <v>316.80017422449123</v>
      </c>
      <c r="G97" s="12">
        <f t="shared" si="6"/>
        <v>14.441324136487516</v>
      </c>
    </row>
    <row r="98" spans="1:7" x14ac:dyDescent="0.35">
      <c r="A98" s="11">
        <v>20576</v>
      </c>
      <c r="B98" s="6">
        <v>318</v>
      </c>
      <c r="C98" s="12">
        <f t="shared" si="5"/>
        <v>313.01900087112244</v>
      </c>
      <c r="F98" s="12">
        <f t="shared" si="4"/>
        <v>313.01900087112244</v>
      </c>
      <c r="G98" s="12">
        <f t="shared" si="6"/>
        <v>24.810352321878977</v>
      </c>
    </row>
    <row r="99" spans="1:7" x14ac:dyDescent="0.35">
      <c r="A99" s="11">
        <v>20607</v>
      </c>
      <c r="B99" s="6">
        <v>374</v>
      </c>
      <c r="C99" s="12">
        <f t="shared" si="5"/>
        <v>317.97509500435564</v>
      </c>
      <c r="F99" s="12">
        <f t="shared" si="4"/>
        <v>317.97509500435564</v>
      </c>
      <c r="G99" s="12">
        <f t="shared" si="6"/>
        <v>3138.7899797709765</v>
      </c>
    </row>
    <row r="100" spans="1:7" x14ac:dyDescent="0.35">
      <c r="A100" s="11">
        <v>20637</v>
      </c>
      <c r="B100" s="6">
        <v>413</v>
      </c>
      <c r="C100" s="12">
        <f t="shared" si="5"/>
        <v>373.71987547502175</v>
      </c>
      <c r="F100" s="12">
        <f t="shared" si="4"/>
        <v>373.71987547502175</v>
      </c>
      <c r="G100" s="12">
        <f t="shared" si="6"/>
        <v>1542.9281826977976</v>
      </c>
    </row>
    <row r="101" spans="1:7" x14ac:dyDescent="0.35">
      <c r="A101" s="11">
        <v>20668</v>
      </c>
      <c r="B101" s="6">
        <v>405</v>
      </c>
      <c r="C101" s="12">
        <f t="shared" si="5"/>
        <v>412.80359937737512</v>
      </c>
      <c r="F101" s="12">
        <f t="shared" si="4"/>
        <v>412.80359937737512</v>
      </c>
      <c r="G101" s="12">
        <f t="shared" si="6"/>
        <v>60.896163242569386</v>
      </c>
    </row>
    <row r="102" spans="1:7" x14ac:dyDescent="0.35">
      <c r="A102" s="11">
        <v>20699</v>
      </c>
      <c r="B102" s="6">
        <v>355</v>
      </c>
      <c r="C102" s="12">
        <f t="shared" si="5"/>
        <v>405.03901799688691</v>
      </c>
      <c r="F102" s="12">
        <f t="shared" si="4"/>
        <v>405.03901799688691</v>
      </c>
      <c r="G102" s="12">
        <f t="shared" si="6"/>
        <v>2503.9033220927722</v>
      </c>
    </row>
    <row r="103" spans="1:7" x14ac:dyDescent="0.35">
      <c r="A103" s="11">
        <v>20729</v>
      </c>
      <c r="B103" s="6">
        <v>306</v>
      </c>
      <c r="C103" s="12">
        <f t="shared" si="5"/>
        <v>355.25019508998446</v>
      </c>
      <c r="F103" s="12">
        <f t="shared" si="4"/>
        <v>355.25019508998446</v>
      </c>
      <c r="G103" s="12">
        <f t="shared" si="6"/>
        <v>2425.5817164015293</v>
      </c>
    </row>
    <row r="104" spans="1:7" x14ac:dyDescent="0.35">
      <c r="A104" s="11">
        <v>20760</v>
      </c>
      <c r="B104" s="6">
        <v>271</v>
      </c>
      <c r="C104" s="12">
        <f t="shared" si="5"/>
        <v>306.24625097544987</v>
      </c>
      <c r="F104" s="12">
        <f t="shared" si="4"/>
        <v>306.24625097544987</v>
      </c>
      <c r="G104" s="12">
        <f t="shared" si="6"/>
        <v>1242.2982078244008</v>
      </c>
    </row>
    <row r="105" spans="1:7" x14ac:dyDescent="0.35">
      <c r="A105" s="11">
        <v>20790</v>
      </c>
      <c r="B105" s="6">
        <v>306</v>
      </c>
      <c r="C105" s="12">
        <f t="shared" si="5"/>
        <v>271.17623125487722</v>
      </c>
      <c r="F105" s="12">
        <f t="shared" si="4"/>
        <v>271.17623125487722</v>
      </c>
      <c r="G105" s="12">
        <f t="shared" si="6"/>
        <v>1212.6948696137899</v>
      </c>
    </row>
    <row r="106" spans="1:7" x14ac:dyDescent="0.35">
      <c r="A106" s="11">
        <v>20821</v>
      </c>
      <c r="B106" s="6">
        <v>315</v>
      </c>
      <c r="C106" s="12">
        <f t="shared" si="5"/>
        <v>305.82588115627436</v>
      </c>
      <c r="F106" s="12">
        <f t="shared" si="4"/>
        <v>305.82588115627436</v>
      </c>
      <c r="G106" s="12">
        <f t="shared" si="6"/>
        <v>84.164456558801817</v>
      </c>
    </row>
    <row r="107" spans="1:7" x14ac:dyDescent="0.35">
      <c r="A107" s="11">
        <v>20852</v>
      </c>
      <c r="B107" s="6">
        <v>301</v>
      </c>
      <c r="C107" s="12">
        <f t="shared" si="5"/>
        <v>314.95412940578137</v>
      </c>
      <c r="F107" s="12">
        <f t="shared" si="4"/>
        <v>314.95412940578137</v>
      </c>
      <c r="G107" s="12">
        <f t="shared" si="6"/>
        <v>194.7177274732924</v>
      </c>
    </row>
    <row r="108" spans="1:7" x14ac:dyDescent="0.35">
      <c r="A108" s="11">
        <v>20880</v>
      </c>
      <c r="B108" s="6">
        <v>356</v>
      </c>
      <c r="C108" s="12">
        <f t="shared" si="5"/>
        <v>301.06977064702892</v>
      </c>
      <c r="F108" s="12">
        <f t="shared" si="4"/>
        <v>301.06977064702892</v>
      </c>
      <c r="G108" s="12">
        <f t="shared" si="6"/>
        <v>3017.3300967700061</v>
      </c>
    </row>
    <row r="109" spans="1:7" x14ac:dyDescent="0.35">
      <c r="A109" s="11">
        <v>20911</v>
      </c>
      <c r="B109" s="6">
        <v>348</v>
      </c>
      <c r="C109" s="12">
        <f t="shared" si="5"/>
        <v>355.72534885323512</v>
      </c>
      <c r="F109" s="12">
        <f t="shared" si="4"/>
        <v>355.72534885323512</v>
      </c>
      <c r="G109" s="12">
        <f t="shared" si="6"/>
        <v>59.681014904181161</v>
      </c>
    </row>
    <row r="110" spans="1:7" x14ac:dyDescent="0.35">
      <c r="A110" s="11">
        <v>20941</v>
      </c>
      <c r="B110" s="6">
        <v>355</v>
      </c>
      <c r="C110" s="12">
        <f t="shared" si="5"/>
        <v>348.0386267442662</v>
      </c>
      <c r="F110" s="12">
        <f t="shared" si="4"/>
        <v>348.0386267442662</v>
      </c>
      <c r="G110" s="12">
        <f t="shared" si="6"/>
        <v>48.460717605645861</v>
      </c>
    </row>
    <row r="111" spans="1:7" x14ac:dyDescent="0.35">
      <c r="A111" s="11">
        <v>20972</v>
      </c>
      <c r="B111" s="6">
        <v>422</v>
      </c>
      <c r="C111" s="12">
        <f t="shared" si="5"/>
        <v>354.96519313372136</v>
      </c>
      <c r="F111" s="12">
        <f t="shared" si="4"/>
        <v>354.96519313372136</v>
      </c>
      <c r="G111" s="12">
        <f t="shared" si="6"/>
        <v>4493.665331599278</v>
      </c>
    </row>
    <row r="112" spans="1:7" x14ac:dyDescent="0.35">
      <c r="A112" s="11">
        <v>21002</v>
      </c>
      <c r="B112" s="6">
        <v>465</v>
      </c>
      <c r="C112" s="12">
        <f t="shared" si="5"/>
        <v>421.66482596566857</v>
      </c>
      <c r="F112" s="12">
        <f t="shared" si="4"/>
        <v>421.66482596566857</v>
      </c>
      <c r="G112" s="12">
        <f t="shared" si="6"/>
        <v>1877.9373085857931</v>
      </c>
    </row>
    <row r="113" spans="1:7" x14ac:dyDescent="0.35">
      <c r="A113" s="11">
        <v>21033</v>
      </c>
      <c r="B113" s="6">
        <v>467</v>
      </c>
      <c r="C113" s="12">
        <f t="shared" si="5"/>
        <v>464.78332412982837</v>
      </c>
      <c r="F113" s="12">
        <f t="shared" si="4"/>
        <v>464.78332412982837</v>
      </c>
      <c r="G113" s="12">
        <f t="shared" si="6"/>
        <v>4.913651913401142</v>
      </c>
    </row>
    <row r="114" spans="1:7" x14ac:dyDescent="0.35">
      <c r="A114" s="11">
        <v>21064</v>
      </c>
      <c r="B114" s="6">
        <v>404</v>
      </c>
      <c r="C114" s="12">
        <f t="shared" si="5"/>
        <v>466.98891662064915</v>
      </c>
      <c r="F114" s="12">
        <f t="shared" si="4"/>
        <v>466.98891662064915</v>
      </c>
      <c r="G114" s="12">
        <f t="shared" si="6"/>
        <v>3967.6036170430907</v>
      </c>
    </row>
    <row r="115" spans="1:7" x14ac:dyDescent="0.35">
      <c r="A115" s="11">
        <v>21094</v>
      </c>
      <c r="B115" s="6">
        <v>347</v>
      </c>
      <c r="C115" s="12">
        <f t="shared" si="5"/>
        <v>404.31494458310328</v>
      </c>
      <c r="F115" s="12">
        <f t="shared" si="4"/>
        <v>404.31494458310328</v>
      </c>
      <c r="G115" s="12">
        <f t="shared" si="6"/>
        <v>3285.0028725642005</v>
      </c>
    </row>
    <row r="116" spans="1:7" x14ac:dyDescent="0.35">
      <c r="A116" s="11">
        <v>21125</v>
      </c>
      <c r="B116" s="6">
        <v>305</v>
      </c>
      <c r="C116" s="12">
        <f t="shared" si="5"/>
        <v>347.28657472291553</v>
      </c>
      <c r="F116" s="12">
        <f t="shared" si="4"/>
        <v>347.28657472291553</v>
      </c>
      <c r="G116" s="12">
        <f t="shared" si="6"/>
        <v>1788.1544017967187</v>
      </c>
    </row>
    <row r="117" spans="1:7" x14ac:dyDescent="0.35">
      <c r="A117" s="11">
        <v>21155</v>
      </c>
      <c r="B117" s="6">
        <v>336</v>
      </c>
      <c r="C117" s="12">
        <f t="shared" si="5"/>
        <v>305.21143287361463</v>
      </c>
      <c r="F117" s="12">
        <f t="shared" si="4"/>
        <v>305.21143287361463</v>
      </c>
      <c r="G117" s="12">
        <f t="shared" si="6"/>
        <v>947.93586569593811</v>
      </c>
    </row>
  </sheetData>
  <mergeCells count="3">
    <mergeCell ref="I14:M24"/>
    <mergeCell ref="I8:J8"/>
    <mergeCell ref="C1:E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9"/>
  </sheetPr>
  <dimension ref="A1:O117"/>
  <sheetViews>
    <sheetView workbookViewId="0">
      <selection activeCell="D12" sqref="D12"/>
    </sheetView>
  </sheetViews>
  <sheetFormatPr defaultRowHeight="14.5" x14ac:dyDescent="0.35"/>
  <cols>
    <col min="1" max="1" width="10.453125" style="6" bestFit="1" customWidth="1"/>
    <col min="2" max="2" width="22.36328125" style="6" bestFit="1" customWidth="1"/>
    <col min="3" max="3" width="9.81640625" style="6" bestFit="1" customWidth="1"/>
    <col min="4" max="5" width="17.26953125" style="6" customWidth="1"/>
    <col min="6" max="6" width="7.6328125" style="6" bestFit="1" customWidth="1"/>
    <col min="7" max="7" width="12.54296875" style="6" bestFit="1" customWidth="1"/>
    <col min="8" max="8" width="8.7265625" style="6"/>
    <col min="9" max="9" width="16.7265625" style="6" bestFit="1" customWidth="1"/>
    <col min="10" max="10" width="8.81640625" style="6" bestFit="1" customWidth="1"/>
    <col min="11" max="16384" width="8.7265625" style="6"/>
  </cols>
  <sheetData>
    <row r="1" spans="1:15" ht="15" thickBot="1" x14ac:dyDescent="0.4">
      <c r="C1" s="43" t="s">
        <v>0</v>
      </c>
      <c r="D1" s="43"/>
      <c r="E1" s="43"/>
      <c r="I1" s="8"/>
      <c r="J1" s="8"/>
    </row>
    <row r="2" spans="1:15" ht="15" thickBot="1" x14ac:dyDescent="0.4">
      <c r="D2" s="9" t="s">
        <v>1</v>
      </c>
      <c r="E2" s="2">
        <v>0.98671600000000004</v>
      </c>
      <c r="I2" s="8"/>
      <c r="J2" s="8"/>
    </row>
    <row r="3" spans="1:15" ht="15" thickBot="1" x14ac:dyDescent="0.4">
      <c r="D3" s="9" t="s">
        <v>9</v>
      </c>
      <c r="E3" s="2">
        <v>2.0680000000000001E-4</v>
      </c>
      <c r="I3" s="8"/>
      <c r="J3" s="8"/>
    </row>
    <row r="4" spans="1:15" x14ac:dyDescent="0.35">
      <c r="E4" s="7"/>
      <c r="I4" s="8"/>
      <c r="J4" s="8"/>
    </row>
    <row r="5" spans="1:15" x14ac:dyDescent="0.35">
      <c r="I5" s="8"/>
      <c r="J5" s="8"/>
    </row>
    <row r="8" spans="1:15" x14ac:dyDescent="0.35">
      <c r="A8" s="5" t="s">
        <v>2</v>
      </c>
      <c r="B8" s="5" t="s">
        <v>3</v>
      </c>
      <c r="C8" s="5" t="s">
        <v>4</v>
      </c>
      <c r="D8" s="5" t="s">
        <v>5</v>
      </c>
      <c r="E8" s="5" t="s">
        <v>6</v>
      </c>
      <c r="F8" s="5" t="s">
        <v>18</v>
      </c>
      <c r="G8" s="5" t="s">
        <v>7</v>
      </c>
      <c r="I8" s="43" t="s">
        <v>16</v>
      </c>
      <c r="J8" s="43"/>
      <c r="M8" s="7"/>
    </row>
    <row r="9" spans="1:15" ht="15" thickBot="1" x14ac:dyDescent="0.4">
      <c r="A9" s="5"/>
      <c r="B9" s="5"/>
      <c r="C9" s="5"/>
      <c r="D9" s="5"/>
      <c r="E9" s="5"/>
      <c r="F9" s="5"/>
      <c r="G9" s="5"/>
      <c r="I9" s="5"/>
      <c r="J9" s="5"/>
    </row>
    <row r="10" spans="1:15" ht="15" thickBot="1" x14ac:dyDescent="0.4">
      <c r="A10" s="11">
        <v>17899</v>
      </c>
      <c r="B10" s="6">
        <v>112</v>
      </c>
      <c r="C10" s="1">
        <v>102.82241999999999</v>
      </c>
      <c r="D10" s="1">
        <v>2.4280814999999998</v>
      </c>
      <c r="F10" s="12">
        <f>C10+D10</f>
        <v>105.2505015</v>
      </c>
      <c r="G10" s="12">
        <f t="shared" ref="G10" si="0">(F10-B10)^2</f>
        <v>45.555730001502269</v>
      </c>
      <c r="I10" s="9" t="s">
        <v>8</v>
      </c>
      <c r="J10" s="16">
        <f>SUM(G10:G117)</f>
        <v>71554.220746011008</v>
      </c>
      <c r="O10" s="7"/>
    </row>
    <row r="11" spans="1:15" x14ac:dyDescent="0.35">
      <c r="A11" s="11">
        <v>17930</v>
      </c>
      <c r="B11" s="6">
        <v>118</v>
      </c>
      <c r="C11" s="12">
        <f>B10*$E$2+(C10+D10)*(1-$E$2)</f>
        <v>111.91033966192599</v>
      </c>
      <c r="D11" s="12">
        <f>(C11-C10)*$E$3+D10*(1-$E$3)</f>
        <v>2.4294587545318862</v>
      </c>
      <c r="F11" s="12">
        <f t="shared" ref="F11:F74" si="1">C11+D11</f>
        <v>114.33979841645788</v>
      </c>
      <c r="G11" s="12">
        <f>(F11-B11)^2</f>
        <v>13.397075632164231</v>
      </c>
      <c r="O11" s="7"/>
    </row>
    <row r="12" spans="1:15" x14ac:dyDescent="0.35">
      <c r="A12" s="11">
        <v>17958</v>
      </c>
      <c r="B12" s="6">
        <v>132</v>
      </c>
      <c r="C12" s="12">
        <f t="shared" ref="C12:C75" si="2">B11*$E$2+(C11+D11)*(1-$E$2)</f>
        <v>117.95137788216422</v>
      </c>
      <c r="D12" s="12">
        <f t="shared" ref="D12:D75" si="3">(C12-C11)*$E$3+D11*(1-$E$3)</f>
        <v>2.4302056291653944</v>
      </c>
      <c r="F12" s="12">
        <f t="shared" si="1"/>
        <v>120.38158351132962</v>
      </c>
      <c r="G12" s="12">
        <f t="shared" ref="G12:G75" si="4">(F12-B12)^2</f>
        <v>134.98760170420769</v>
      </c>
      <c r="O12" s="7"/>
    </row>
    <row r="13" spans="1:15" ht="15" thickBot="1" x14ac:dyDescent="0.4">
      <c r="A13" s="11">
        <v>17989</v>
      </c>
      <c r="B13" s="6">
        <v>129</v>
      </c>
      <c r="C13" s="12">
        <f t="shared" si="2"/>
        <v>131.84566095536451</v>
      </c>
      <c r="D13" s="12">
        <f t="shared" si="3"/>
        <v>2.432576400380821</v>
      </c>
      <c r="F13" s="12">
        <f t="shared" si="1"/>
        <v>134.27823735574532</v>
      </c>
      <c r="G13" s="12">
        <f t="shared" si="4"/>
        <v>27.859789583585332</v>
      </c>
      <c r="O13" s="7"/>
    </row>
    <row r="14" spans="1:15" x14ac:dyDescent="0.35">
      <c r="A14" s="11">
        <v>18019</v>
      </c>
      <c r="B14" s="6">
        <v>121</v>
      </c>
      <c r="C14" s="12">
        <f t="shared" si="2"/>
        <v>129.07011610503372</v>
      </c>
      <c r="D14" s="12">
        <f t="shared" si="3"/>
        <v>2.4314993609061739</v>
      </c>
      <c r="F14" s="12">
        <f t="shared" si="1"/>
        <v>131.50161546593989</v>
      </c>
      <c r="G14" s="12">
        <f t="shared" si="4"/>
        <v>110.28392739446794</v>
      </c>
      <c r="I14" s="34" t="s">
        <v>51</v>
      </c>
      <c r="J14" s="35"/>
      <c r="K14" s="35"/>
      <c r="L14" s="35"/>
      <c r="M14" s="36"/>
      <c r="O14" s="7"/>
    </row>
    <row r="15" spans="1:15" x14ac:dyDescent="0.35">
      <c r="A15" s="11">
        <v>18050</v>
      </c>
      <c r="B15" s="6">
        <v>135</v>
      </c>
      <c r="C15" s="12">
        <f t="shared" si="2"/>
        <v>121.13950345984955</v>
      </c>
      <c r="D15" s="12">
        <f t="shared" si="3"/>
        <v>2.4293564761433144</v>
      </c>
      <c r="F15" s="12">
        <f t="shared" si="1"/>
        <v>123.56885993599286</v>
      </c>
      <c r="G15" s="12">
        <f t="shared" si="4"/>
        <v>130.67096316294914</v>
      </c>
      <c r="I15" s="37"/>
      <c r="J15" s="38"/>
      <c r="K15" s="38"/>
      <c r="L15" s="38"/>
      <c r="M15" s="39"/>
      <c r="O15" s="7"/>
    </row>
    <row r="16" spans="1:15" x14ac:dyDescent="0.35">
      <c r="A16" s="11">
        <v>18080</v>
      </c>
      <c r="B16" s="6">
        <v>148</v>
      </c>
      <c r="C16" s="12">
        <f t="shared" si="2"/>
        <v>134.84814873538971</v>
      </c>
      <c r="D16" s="12">
        <f t="shared" si="3"/>
        <v>2.43168903306703</v>
      </c>
      <c r="F16" s="12">
        <f t="shared" si="1"/>
        <v>137.27983776845673</v>
      </c>
      <c r="G16" s="12">
        <f t="shared" si="4"/>
        <v>114.92187827060678</v>
      </c>
      <c r="I16" s="37"/>
      <c r="J16" s="38"/>
      <c r="K16" s="38"/>
      <c r="L16" s="38"/>
      <c r="M16" s="39"/>
      <c r="O16" s="7"/>
    </row>
    <row r="17" spans="1:15" x14ac:dyDescent="0.35">
      <c r="A17" s="11">
        <v>18111</v>
      </c>
      <c r="B17" s="6">
        <v>148</v>
      </c>
      <c r="C17" s="12">
        <f t="shared" si="2"/>
        <v>147.8575933649162</v>
      </c>
      <c r="D17" s="12">
        <f t="shared" si="3"/>
        <v>2.4338765129243778</v>
      </c>
      <c r="F17" s="12">
        <f t="shared" si="1"/>
        <v>150.29146987784057</v>
      </c>
      <c r="G17" s="12">
        <f t="shared" si="4"/>
        <v>5.2508342010506741</v>
      </c>
      <c r="I17" s="37"/>
      <c r="J17" s="38"/>
      <c r="K17" s="38"/>
      <c r="L17" s="38"/>
      <c r="M17" s="39"/>
      <c r="O17" s="7"/>
    </row>
    <row r="18" spans="1:15" x14ac:dyDescent="0.35">
      <c r="A18" s="11">
        <v>18142</v>
      </c>
      <c r="B18" s="6">
        <v>136</v>
      </c>
      <c r="C18" s="12">
        <f t="shared" si="2"/>
        <v>148.03043988585725</v>
      </c>
      <c r="D18" s="12">
        <f t="shared" si="3"/>
        <v>2.4334089319220356</v>
      </c>
      <c r="F18" s="12">
        <f t="shared" si="1"/>
        <v>150.46384881777928</v>
      </c>
      <c r="G18" s="12">
        <f t="shared" si="4"/>
        <v>209.20292262357506</v>
      </c>
      <c r="I18" s="37"/>
      <c r="J18" s="38"/>
      <c r="K18" s="38"/>
      <c r="L18" s="38"/>
      <c r="M18" s="39"/>
      <c r="O18" s="7"/>
    </row>
    <row r="19" spans="1:15" x14ac:dyDescent="0.35">
      <c r="A19" s="11">
        <v>18172</v>
      </c>
      <c r="B19" s="6">
        <v>119</v>
      </c>
      <c r="C19" s="12">
        <f t="shared" si="2"/>
        <v>136.19213776769539</v>
      </c>
      <c r="D19" s="12">
        <f t="shared" si="3"/>
        <v>2.4304575420768781</v>
      </c>
      <c r="F19" s="12">
        <f t="shared" si="1"/>
        <v>138.62259530977227</v>
      </c>
      <c r="G19" s="12">
        <f t="shared" si="4"/>
        <v>385.04624669109648</v>
      </c>
      <c r="I19" s="37"/>
      <c r="J19" s="38"/>
      <c r="K19" s="38"/>
      <c r="L19" s="38"/>
      <c r="M19" s="39"/>
      <c r="O19" s="7"/>
    </row>
    <row r="20" spans="1:15" x14ac:dyDescent="0.35">
      <c r="A20" s="11">
        <v>18203</v>
      </c>
      <c r="B20" s="6">
        <v>104</v>
      </c>
      <c r="C20" s="12">
        <f t="shared" si="2"/>
        <v>119.26066655609502</v>
      </c>
      <c r="D20" s="12">
        <f t="shared" si="3"/>
        <v>2.4264534952106178</v>
      </c>
      <c r="F20" s="12">
        <f t="shared" si="1"/>
        <v>121.68712005130564</v>
      </c>
      <c r="G20" s="12">
        <f t="shared" si="4"/>
        <v>312.83421570929806</v>
      </c>
      <c r="I20" s="37"/>
      <c r="J20" s="38"/>
      <c r="K20" s="38"/>
      <c r="L20" s="38"/>
      <c r="M20" s="39"/>
      <c r="O20" s="7"/>
    </row>
    <row r="21" spans="1:15" x14ac:dyDescent="0.35">
      <c r="A21" s="11">
        <v>18233</v>
      </c>
      <c r="B21" s="6">
        <v>118</v>
      </c>
      <c r="C21" s="12">
        <f t="shared" si="2"/>
        <v>104.23495570276154</v>
      </c>
      <c r="D21" s="12">
        <f t="shared" si="3"/>
        <v>2.4228443876233392</v>
      </c>
      <c r="F21" s="12">
        <f t="shared" si="1"/>
        <v>106.65780009038488</v>
      </c>
      <c r="G21" s="12">
        <f t="shared" si="4"/>
        <v>128.64549878967318</v>
      </c>
      <c r="I21" s="37"/>
      <c r="J21" s="38"/>
      <c r="K21" s="38"/>
      <c r="L21" s="38"/>
      <c r="M21" s="39"/>
    </row>
    <row r="22" spans="1:15" x14ac:dyDescent="0.35">
      <c r="A22" s="11">
        <v>18264</v>
      </c>
      <c r="B22" s="6">
        <v>115</v>
      </c>
      <c r="C22" s="12">
        <f t="shared" si="2"/>
        <v>117.84933021640067</v>
      </c>
      <c r="D22" s="12">
        <f t="shared" si="3"/>
        <v>2.4251587960533993</v>
      </c>
      <c r="F22" s="12">
        <f t="shared" si="1"/>
        <v>120.27448901245407</v>
      </c>
      <c r="G22" s="12">
        <f t="shared" si="4"/>
        <v>27.820234342498697</v>
      </c>
      <c r="I22" s="37"/>
      <c r="J22" s="38"/>
      <c r="K22" s="38"/>
      <c r="L22" s="38"/>
      <c r="M22" s="39"/>
    </row>
    <row r="23" spans="1:15" x14ac:dyDescent="0.35">
      <c r="A23" s="11">
        <v>18295</v>
      </c>
      <c r="B23" s="6">
        <v>126</v>
      </c>
      <c r="C23" s="12">
        <f t="shared" si="2"/>
        <v>115.07006631204143</v>
      </c>
      <c r="D23" s="12">
        <f t="shared" si="3"/>
        <v>2.4240825214389541</v>
      </c>
      <c r="F23" s="12">
        <f t="shared" si="1"/>
        <v>117.49414883348038</v>
      </c>
      <c r="G23" s="12">
        <f t="shared" si="4"/>
        <v>72.349504066983172</v>
      </c>
      <c r="I23" s="37"/>
      <c r="J23" s="38"/>
      <c r="K23" s="38"/>
      <c r="L23" s="38"/>
      <c r="M23" s="39"/>
    </row>
    <row r="24" spans="1:15" ht="15" thickBot="1" x14ac:dyDescent="0.4">
      <c r="A24" s="11">
        <v>18323</v>
      </c>
      <c r="B24" s="6">
        <v>141</v>
      </c>
      <c r="C24" s="12">
        <f t="shared" si="2"/>
        <v>125.88700827310394</v>
      </c>
      <c r="D24" s="12">
        <f t="shared" si="3"/>
        <v>2.4258181647710684</v>
      </c>
      <c r="F24" s="12">
        <f t="shared" si="1"/>
        <v>128.312826437875</v>
      </c>
      <c r="G24" s="12">
        <f t="shared" si="4"/>
        <v>160.96437299548347</v>
      </c>
      <c r="I24" s="40"/>
      <c r="J24" s="41"/>
      <c r="K24" s="41"/>
      <c r="L24" s="41"/>
      <c r="M24" s="42"/>
    </row>
    <row r="25" spans="1:15" x14ac:dyDescent="0.35">
      <c r="A25" s="11">
        <v>18354</v>
      </c>
      <c r="B25" s="6">
        <v>135</v>
      </c>
      <c r="C25" s="12">
        <f t="shared" si="2"/>
        <v>140.83146358640073</v>
      </c>
      <c r="D25" s="12">
        <f t="shared" si="3"/>
        <v>2.4284070189333837</v>
      </c>
      <c r="F25" s="12">
        <f t="shared" si="1"/>
        <v>143.2598706053341</v>
      </c>
      <c r="G25" s="12">
        <f t="shared" si="4"/>
        <v>68.225462416862314</v>
      </c>
    </row>
    <row r="26" spans="1:15" x14ac:dyDescent="0.35">
      <c r="A26" s="11">
        <v>18384</v>
      </c>
      <c r="B26" s="6">
        <v>125</v>
      </c>
      <c r="C26" s="12">
        <f t="shared" si="2"/>
        <v>135.10972412112125</v>
      </c>
      <c r="D26" s="12">
        <f t="shared" si="3"/>
        <v>2.4267215686404486</v>
      </c>
      <c r="F26" s="12">
        <f t="shared" si="1"/>
        <v>137.53644568976171</v>
      </c>
      <c r="G26" s="12">
        <f t="shared" si="4"/>
        <v>157.16247053234486</v>
      </c>
    </row>
    <row r="27" spans="1:15" x14ac:dyDescent="0.35">
      <c r="A27" s="11">
        <v>18415</v>
      </c>
      <c r="B27" s="6">
        <v>149</v>
      </c>
      <c r="C27" s="12">
        <f t="shared" si="2"/>
        <v>125.16653414454279</v>
      </c>
      <c r="D27" s="12">
        <f t="shared" si="3"/>
        <v>2.4241634709328972</v>
      </c>
      <c r="F27" s="12">
        <f t="shared" si="1"/>
        <v>127.59069761547569</v>
      </c>
      <c r="G27" s="12">
        <f t="shared" si="4"/>
        <v>458.35822859199828</v>
      </c>
    </row>
    <row r="28" spans="1:15" x14ac:dyDescent="0.35">
      <c r="A28" s="11">
        <v>18445</v>
      </c>
      <c r="B28" s="6">
        <v>170</v>
      </c>
      <c r="C28" s="12">
        <f t="shared" si="2"/>
        <v>148.71559882712398</v>
      </c>
      <c r="D28" s="12">
        <f t="shared" si="3"/>
        <v>2.4285321005034666</v>
      </c>
      <c r="F28" s="12">
        <f t="shared" si="1"/>
        <v>151.14413092762746</v>
      </c>
      <c r="G28" s="12">
        <f t="shared" si="4"/>
        <v>355.54379847445534</v>
      </c>
    </row>
    <row r="29" spans="1:15" x14ac:dyDescent="0.35">
      <c r="A29" s="11">
        <v>18476</v>
      </c>
      <c r="B29" s="6">
        <v>170</v>
      </c>
      <c r="C29" s="12">
        <f t="shared" si="2"/>
        <v>169.74951863524262</v>
      </c>
      <c r="D29" s="12">
        <f t="shared" si="3"/>
        <v>2.4323796946814014</v>
      </c>
      <c r="F29" s="12">
        <f t="shared" si="1"/>
        <v>172.18189832992402</v>
      </c>
      <c r="G29" s="12">
        <f t="shared" si="4"/>
        <v>4.7606803221252472</v>
      </c>
    </row>
    <row r="30" spans="1:15" x14ac:dyDescent="0.35">
      <c r="A30" s="11">
        <v>18507</v>
      </c>
      <c r="B30" s="6">
        <v>158</v>
      </c>
      <c r="C30" s="12">
        <f t="shared" si="2"/>
        <v>170.02898433741473</v>
      </c>
      <c r="D30" s="12">
        <f t="shared" si="3"/>
        <v>2.4319344720677507</v>
      </c>
      <c r="F30" s="12">
        <f t="shared" si="1"/>
        <v>172.46091880948248</v>
      </c>
      <c r="G30" s="12">
        <f t="shared" si="4"/>
        <v>209.11817281444416</v>
      </c>
    </row>
    <row r="31" spans="1:15" x14ac:dyDescent="0.35">
      <c r="A31" s="11">
        <v>18537</v>
      </c>
      <c r="B31" s="6">
        <v>133</v>
      </c>
      <c r="C31" s="12">
        <f t="shared" si="2"/>
        <v>158.19209884546515</v>
      </c>
      <c r="D31" s="12">
        <f t="shared" si="3"/>
        <v>2.4289836800991917</v>
      </c>
      <c r="F31" s="12">
        <f t="shared" si="1"/>
        <v>160.62108252556433</v>
      </c>
      <c r="G31" s="12">
        <f t="shared" si="4"/>
        <v>762.92419988403537</v>
      </c>
    </row>
    <row r="32" spans="1:15" x14ac:dyDescent="0.35">
      <c r="A32" s="11">
        <v>18568</v>
      </c>
      <c r="B32" s="6">
        <v>114</v>
      </c>
      <c r="C32" s="12">
        <f t="shared" si="2"/>
        <v>133.36691846026957</v>
      </c>
      <c r="D32" s="12">
        <f t="shared" si="3"/>
        <v>2.4233475189704889</v>
      </c>
      <c r="F32" s="12">
        <f t="shared" si="1"/>
        <v>135.79026597924008</v>
      </c>
      <c r="G32" s="12">
        <f t="shared" si="4"/>
        <v>474.81569144602747</v>
      </c>
    </row>
    <row r="33" spans="1:7" x14ac:dyDescent="0.35">
      <c r="A33" s="11">
        <v>18598</v>
      </c>
      <c r="B33" s="6">
        <v>140</v>
      </c>
      <c r="C33" s="12">
        <f t="shared" si="2"/>
        <v>114.28946189326822</v>
      </c>
      <c r="D33" s="12">
        <f t="shared" si="3"/>
        <v>2.41890115268551</v>
      </c>
      <c r="F33" s="12">
        <f t="shared" si="1"/>
        <v>116.70836304595373</v>
      </c>
      <c r="G33" s="12">
        <f t="shared" si="4"/>
        <v>542.50035199909371</v>
      </c>
    </row>
    <row r="34" spans="1:7" x14ac:dyDescent="0.35">
      <c r="A34" s="11">
        <v>18629</v>
      </c>
      <c r="B34" s="6">
        <v>145</v>
      </c>
      <c r="C34" s="12">
        <f t="shared" si="2"/>
        <v>139.69059389470246</v>
      </c>
      <c r="D34" s="12">
        <f t="shared" si="3"/>
        <v>2.4236538780250316</v>
      </c>
      <c r="F34" s="12">
        <f t="shared" si="1"/>
        <v>142.11424777272748</v>
      </c>
      <c r="G34" s="12">
        <f t="shared" si="4"/>
        <v>8.3275659172083056</v>
      </c>
    </row>
    <row r="35" spans="1:7" x14ac:dyDescent="0.35">
      <c r="A35" s="11">
        <v>18660</v>
      </c>
      <c r="B35" s="6">
        <v>150</v>
      </c>
      <c r="C35" s="12">
        <f t="shared" si="2"/>
        <v>144.96166566741292</v>
      </c>
      <c r="D35" s="12">
        <f t="shared" si="3"/>
        <v>2.4242427240456528</v>
      </c>
      <c r="F35" s="12">
        <f t="shared" si="1"/>
        <v>147.38590839145857</v>
      </c>
      <c r="G35" s="12">
        <f t="shared" si="4"/>
        <v>6.8334749378467157</v>
      </c>
    </row>
    <row r="36" spans="1:7" x14ac:dyDescent="0.35">
      <c r="A36" s="11">
        <v>18688</v>
      </c>
      <c r="B36" s="6">
        <v>178</v>
      </c>
      <c r="C36" s="12">
        <f t="shared" si="2"/>
        <v>149.96527440707214</v>
      </c>
      <c r="D36" s="12">
        <f t="shared" si="3"/>
        <v>2.4247761369376817</v>
      </c>
      <c r="F36" s="12">
        <f t="shared" si="1"/>
        <v>152.39005054400982</v>
      </c>
      <c r="G36" s="12">
        <f t="shared" si="4"/>
        <v>655.86951113837154</v>
      </c>
    </row>
    <row r="37" spans="1:7" x14ac:dyDescent="0.35">
      <c r="A37" s="11">
        <v>18719</v>
      </c>
      <c r="B37" s="6">
        <v>163</v>
      </c>
      <c r="C37" s="12">
        <f t="shared" si="2"/>
        <v>177.65979743142663</v>
      </c>
      <c r="D37" s="12">
        <f t="shared" si="3"/>
        <v>2.4300019205939996</v>
      </c>
      <c r="F37" s="12">
        <f t="shared" si="1"/>
        <v>180.08979935202063</v>
      </c>
      <c r="G37" s="12">
        <f t="shared" si="4"/>
        <v>292.06124189232492</v>
      </c>
    </row>
    <row r="38" spans="1:7" x14ac:dyDescent="0.35">
      <c r="A38" s="11">
        <v>18749</v>
      </c>
      <c r="B38" s="6">
        <v>172</v>
      </c>
      <c r="C38" s="12">
        <f t="shared" si="2"/>
        <v>163.22702089459224</v>
      </c>
      <c r="D38" s="12">
        <f t="shared" si="3"/>
        <v>2.4265146980090035</v>
      </c>
      <c r="F38" s="12">
        <f t="shared" si="1"/>
        <v>165.65353559260126</v>
      </c>
      <c r="G38" s="12">
        <f t="shared" si="4"/>
        <v>40.27761047437906</v>
      </c>
    </row>
    <row r="39" spans="1:7" x14ac:dyDescent="0.35">
      <c r="A39" s="11">
        <v>18780</v>
      </c>
      <c r="B39" s="6">
        <v>178</v>
      </c>
      <c r="C39" s="12">
        <f t="shared" si="2"/>
        <v>171.91569356681214</v>
      </c>
      <c r="D39" s="12">
        <f t="shared" si="3"/>
        <v>2.4278097122780706</v>
      </c>
      <c r="F39" s="12">
        <f t="shared" si="1"/>
        <v>174.34350327909021</v>
      </c>
      <c r="G39" s="12">
        <f t="shared" si="4"/>
        <v>13.369968270024016</v>
      </c>
    </row>
    <row r="40" spans="1:7" x14ac:dyDescent="0.35">
      <c r="A40" s="11">
        <v>18810</v>
      </c>
      <c r="B40" s="6">
        <v>199</v>
      </c>
      <c r="C40" s="12">
        <f t="shared" si="2"/>
        <v>177.95142709755942</v>
      </c>
      <c r="D40" s="12">
        <f t="shared" si="3"/>
        <v>2.4285558309237301</v>
      </c>
      <c r="F40" s="12">
        <f t="shared" si="1"/>
        <v>180.37998292848314</v>
      </c>
      <c r="G40" s="12">
        <f t="shared" si="4"/>
        <v>346.70503574357912</v>
      </c>
    </row>
    <row r="41" spans="1:7" x14ac:dyDescent="0.35">
      <c r="A41" s="11">
        <v>18841</v>
      </c>
      <c r="B41" s="6">
        <v>199</v>
      </c>
      <c r="C41" s="12">
        <f t="shared" si="2"/>
        <v>198.75265169322196</v>
      </c>
      <c r="D41" s="12">
        <f t="shared" si="3"/>
        <v>2.432355298824278</v>
      </c>
      <c r="F41" s="12">
        <f t="shared" si="1"/>
        <v>201.18500699204625</v>
      </c>
      <c r="G41" s="12">
        <f t="shared" si="4"/>
        <v>4.7742555552910204</v>
      </c>
    </row>
    <row r="42" spans="1:7" x14ac:dyDescent="0.35">
      <c r="A42" s="11">
        <v>18872</v>
      </c>
      <c r="B42" s="6">
        <v>184</v>
      </c>
      <c r="C42" s="12">
        <f t="shared" si="2"/>
        <v>199.02902563288234</v>
      </c>
      <c r="D42" s="12">
        <f t="shared" si="3"/>
        <v>2.4319094418792031</v>
      </c>
      <c r="F42" s="12">
        <f t="shared" si="1"/>
        <v>201.46093507476155</v>
      </c>
      <c r="G42" s="12">
        <f t="shared" si="4"/>
        <v>304.88425368503817</v>
      </c>
    </row>
    <row r="43" spans="1:7" x14ac:dyDescent="0.35">
      <c r="A43" s="11">
        <v>18902</v>
      </c>
      <c r="B43" s="6">
        <v>162</v>
      </c>
      <c r="C43" s="12">
        <f t="shared" si="2"/>
        <v>184.23195106153312</v>
      </c>
      <c r="D43" s="12">
        <f t="shared" si="3"/>
        <v>2.4283464879852672</v>
      </c>
      <c r="F43" s="12">
        <f t="shared" si="1"/>
        <v>186.66029754951839</v>
      </c>
      <c r="G43" s="12">
        <f t="shared" si="4"/>
        <v>608.13027523078267</v>
      </c>
    </row>
    <row r="44" spans="1:7" x14ac:dyDescent="0.35">
      <c r="A44" s="11">
        <v>18933</v>
      </c>
      <c r="B44" s="6">
        <v>146</v>
      </c>
      <c r="C44" s="12">
        <f t="shared" si="2"/>
        <v>162.32758739264781</v>
      </c>
      <c r="D44" s="12">
        <f t="shared" si="3"/>
        <v>2.4233144835248264</v>
      </c>
      <c r="F44" s="12">
        <f t="shared" si="1"/>
        <v>164.75090187617263</v>
      </c>
      <c r="G44" s="12">
        <f t="shared" si="4"/>
        <v>351.59632116985438</v>
      </c>
    </row>
    <row r="45" spans="1:7" x14ac:dyDescent="0.35">
      <c r="A45" s="11">
        <v>18963</v>
      </c>
      <c r="B45" s="6">
        <v>166</v>
      </c>
      <c r="C45" s="12">
        <f t="shared" si="2"/>
        <v>146.24908698052309</v>
      </c>
      <c r="D45" s="12">
        <f t="shared" si="3"/>
        <v>2.4194883082044063</v>
      </c>
      <c r="F45" s="12">
        <f t="shared" si="1"/>
        <v>148.66857528872748</v>
      </c>
      <c r="G45" s="12">
        <f t="shared" si="4"/>
        <v>300.37828252250767</v>
      </c>
    </row>
    <row r="46" spans="1:7" x14ac:dyDescent="0.35">
      <c r="A46" s="11">
        <v>18994</v>
      </c>
      <c r="B46" s="6">
        <v>171</v>
      </c>
      <c r="C46" s="12">
        <f t="shared" si="2"/>
        <v>165.76976935413546</v>
      </c>
      <c r="D46" s="12">
        <f t="shared" si="3"/>
        <v>2.4230248351371331</v>
      </c>
      <c r="F46" s="12">
        <f t="shared" si="1"/>
        <v>168.1927941892726</v>
      </c>
      <c r="G46" s="12">
        <f t="shared" si="4"/>
        <v>7.880404463781657</v>
      </c>
    </row>
    <row r="47" spans="1:7" x14ac:dyDescent="0.35">
      <c r="A47" s="11">
        <v>19025</v>
      </c>
      <c r="B47" s="6">
        <v>180</v>
      </c>
      <c r="C47" s="12">
        <f t="shared" si="2"/>
        <v>170.96270907801031</v>
      </c>
      <c r="D47" s="12">
        <f t="shared" si="3"/>
        <v>2.4235976535361239</v>
      </c>
      <c r="F47" s="12">
        <f t="shared" si="1"/>
        <v>173.38630673154643</v>
      </c>
      <c r="G47" s="12">
        <f t="shared" si="4"/>
        <v>43.740938649188116</v>
      </c>
    </row>
    <row r="48" spans="1:7" x14ac:dyDescent="0.35">
      <c r="A48" s="11">
        <v>19054</v>
      </c>
      <c r="B48" s="6">
        <v>193</v>
      </c>
      <c r="C48" s="12">
        <f t="shared" si="2"/>
        <v>179.91214369862186</v>
      </c>
      <c r="D48" s="12">
        <f t="shared" si="3"/>
        <v>2.4249471966209151</v>
      </c>
      <c r="F48" s="12">
        <f t="shared" si="1"/>
        <v>182.33709089524277</v>
      </c>
      <c r="G48" s="12">
        <f t="shared" si="4"/>
        <v>113.69763057631469</v>
      </c>
    </row>
    <row r="49" spans="1:7" x14ac:dyDescent="0.35">
      <c r="A49" s="11">
        <v>19085</v>
      </c>
      <c r="B49" s="6">
        <v>181</v>
      </c>
      <c r="C49" s="12">
        <f t="shared" si="2"/>
        <v>192.85835391545243</v>
      </c>
      <c r="D49" s="12">
        <f t="shared" si="3"/>
        <v>2.4271229938134944</v>
      </c>
      <c r="F49" s="12">
        <f t="shared" si="1"/>
        <v>195.28547690926592</v>
      </c>
      <c r="G49" s="12">
        <f t="shared" si="4"/>
        <v>204.07485052516989</v>
      </c>
    </row>
    <row r="50" spans="1:7" x14ac:dyDescent="0.35">
      <c r="A50" s="11">
        <v>19115</v>
      </c>
      <c r="B50" s="6">
        <v>183</v>
      </c>
      <c r="C50" s="12">
        <f t="shared" si="2"/>
        <v>181.18976827526268</v>
      </c>
      <c r="D50" s="12">
        <f t="shared" si="3"/>
        <v>2.4242080012679823</v>
      </c>
      <c r="F50" s="12">
        <f t="shared" si="1"/>
        <v>183.61397627653065</v>
      </c>
      <c r="G50" s="12">
        <f t="shared" si="4"/>
        <v>0.37696686814244124</v>
      </c>
    </row>
    <row r="51" spans="1:7" x14ac:dyDescent="0.35">
      <c r="A51" s="11">
        <v>19146</v>
      </c>
      <c r="B51" s="6">
        <v>218</v>
      </c>
      <c r="C51" s="12">
        <f t="shared" si="2"/>
        <v>183.00815606085743</v>
      </c>
      <c r="D51" s="12">
        <f t="shared" si="3"/>
        <v>2.4240827176473809</v>
      </c>
      <c r="F51" s="12">
        <f t="shared" si="1"/>
        <v>185.43223877850482</v>
      </c>
      <c r="G51" s="12">
        <f t="shared" si="4"/>
        <v>1060.6590709803249</v>
      </c>
    </row>
    <row r="52" spans="1:7" x14ac:dyDescent="0.35">
      <c r="A52" s="11">
        <v>19176</v>
      </c>
      <c r="B52" s="6">
        <v>230</v>
      </c>
      <c r="C52" s="12">
        <f t="shared" si="2"/>
        <v>217.56736985993368</v>
      </c>
      <c r="D52" s="12">
        <f t="shared" si="3"/>
        <v>2.4307282627550206</v>
      </c>
      <c r="F52" s="12">
        <f t="shared" si="1"/>
        <v>219.9980981226887</v>
      </c>
      <c r="G52" s="12">
        <f t="shared" si="4"/>
        <v>100.03804116336326</v>
      </c>
    </row>
    <row r="53" spans="1:7" x14ac:dyDescent="0.35">
      <c r="A53" s="11">
        <v>19207</v>
      </c>
      <c r="B53" s="6">
        <v>242</v>
      </c>
      <c r="C53" s="12">
        <f t="shared" si="2"/>
        <v>229.8671347354618</v>
      </c>
      <c r="D53" s="12">
        <f t="shared" si="3"/>
        <v>2.4327691795265425</v>
      </c>
      <c r="F53" s="12">
        <f t="shared" si="1"/>
        <v>232.29990391498833</v>
      </c>
      <c r="G53" s="12">
        <f t="shared" si="4"/>
        <v>94.09186405845864</v>
      </c>
    </row>
    <row r="54" spans="1:7" x14ac:dyDescent="0.35">
      <c r="A54" s="11">
        <v>19238</v>
      </c>
      <c r="B54" s="6">
        <v>209</v>
      </c>
      <c r="C54" s="12">
        <f t="shared" si="2"/>
        <v>241.87114392360672</v>
      </c>
      <c r="D54" s="12">
        <f t="shared" si="3"/>
        <v>2.4347485119603252</v>
      </c>
      <c r="F54" s="12">
        <f t="shared" si="1"/>
        <v>244.30589243556705</v>
      </c>
      <c r="G54" s="12">
        <f t="shared" si="4"/>
        <v>1246.5060406718303</v>
      </c>
    </row>
    <row r="55" spans="1:7" x14ac:dyDescent="0.35">
      <c r="A55" s="11">
        <v>19268</v>
      </c>
      <c r="B55" s="6">
        <v>191</v>
      </c>
      <c r="C55" s="12">
        <f t="shared" si="2"/>
        <v>209.46900347511408</v>
      </c>
      <c r="D55" s="12">
        <f t="shared" si="3"/>
        <v>2.4275442433233039</v>
      </c>
      <c r="F55" s="12">
        <f t="shared" si="1"/>
        <v>211.89654771843738</v>
      </c>
      <c r="G55" s="12">
        <f t="shared" si="4"/>
        <v>436.6657065489303</v>
      </c>
    </row>
    <row r="56" spans="1:7" x14ac:dyDescent="0.35">
      <c r="A56" s="11">
        <v>19299</v>
      </c>
      <c r="B56" s="6">
        <v>172</v>
      </c>
      <c r="C56" s="12">
        <f t="shared" si="2"/>
        <v>191.27758973989174</v>
      </c>
      <c r="D56" s="12">
        <f t="shared" si="3"/>
        <v>2.4232802428133406</v>
      </c>
      <c r="F56" s="12">
        <f t="shared" si="1"/>
        <v>193.70086998270509</v>
      </c>
      <c r="G56" s="12">
        <f t="shared" si="4"/>
        <v>470.92775800627066</v>
      </c>
    </row>
    <row r="57" spans="1:7" x14ac:dyDescent="0.35">
      <c r="A57" s="11">
        <v>19329</v>
      </c>
      <c r="B57" s="6">
        <v>194</v>
      </c>
      <c r="C57" s="12">
        <f t="shared" si="2"/>
        <v>172.28827435685025</v>
      </c>
      <c r="D57" s="12">
        <f t="shared" si="3"/>
        <v>2.4188521180379139</v>
      </c>
      <c r="F57" s="12">
        <f t="shared" si="1"/>
        <v>174.70712647488816</v>
      </c>
      <c r="G57" s="12">
        <f t="shared" si="4"/>
        <v>372.2149688559615</v>
      </c>
    </row>
    <row r="58" spans="1:7" x14ac:dyDescent="0.35">
      <c r="A58" s="11">
        <v>19360</v>
      </c>
      <c r="B58" s="6">
        <v>196</v>
      </c>
      <c r="C58" s="12">
        <f t="shared" si="2"/>
        <v>193.74371346809244</v>
      </c>
      <c r="D58" s="12">
        <f t="shared" si="3"/>
        <v>2.4227888842281087</v>
      </c>
      <c r="F58" s="12">
        <f t="shared" si="1"/>
        <v>196.16650235232055</v>
      </c>
      <c r="G58" s="12">
        <f t="shared" si="4"/>
        <v>2.7723033328276265E-2</v>
      </c>
    </row>
    <row r="59" spans="1:7" x14ac:dyDescent="0.35">
      <c r="A59" s="11">
        <v>19391</v>
      </c>
      <c r="B59" s="6">
        <v>196</v>
      </c>
      <c r="C59" s="12">
        <f t="shared" si="2"/>
        <v>196.00221181724825</v>
      </c>
      <c r="D59" s="12">
        <f t="shared" si="3"/>
        <v>2.4227549089454556</v>
      </c>
      <c r="F59" s="12">
        <f t="shared" si="1"/>
        <v>198.4249667261937</v>
      </c>
      <c r="G59" s="12">
        <f t="shared" si="4"/>
        <v>5.8804636231466008</v>
      </c>
    </row>
    <row r="60" spans="1:7" x14ac:dyDescent="0.35">
      <c r="A60" s="11">
        <v>19419</v>
      </c>
      <c r="B60" s="6">
        <v>236</v>
      </c>
      <c r="C60" s="12">
        <f t="shared" si="2"/>
        <v>196.03221325799078</v>
      </c>
      <c r="D60" s="12">
        <f t="shared" si="3"/>
        <v>2.4222600875282314</v>
      </c>
      <c r="F60" s="12">
        <f t="shared" si="1"/>
        <v>198.45447334551901</v>
      </c>
      <c r="G60" s="12">
        <f t="shared" si="4"/>
        <v>1409.6665717623428</v>
      </c>
    </row>
    <row r="61" spans="1:7" x14ac:dyDescent="0.35">
      <c r="A61" s="11">
        <v>19450</v>
      </c>
      <c r="B61" s="6">
        <v>235</v>
      </c>
      <c r="C61" s="12">
        <f t="shared" si="2"/>
        <v>235.50124522392187</v>
      </c>
      <c r="D61" s="12">
        <f t="shared" si="3"/>
        <v>2.4299213599526852</v>
      </c>
      <c r="F61" s="12">
        <f t="shared" si="1"/>
        <v>237.93116658387456</v>
      </c>
      <c r="G61" s="12">
        <f t="shared" si="4"/>
        <v>8.5917375424228393</v>
      </c>
    </row>
    <row r="62" spans="1:7" x14ac:dyDescent="0.35">
      <c r="A62" s="11">
        <v>19480</v>
      </c>
      <c r="B62" s="6">
        <v>229</v>
      </c>
      <c r="C62" s="12">
        <f t="shared" si="2"/>
        <v>235.0389376169002</v>
      </c>
      <c r="D62" s="12">
        <f t="shared" si="3"/>
        <v>2.4293232470023152</v>
      </c>
      <c r="F62" s="12">
        <f t="shared" si="1"/>
        <v>237.46826086390251</v>
      </c>
      <c r="G62" s="12">
        <f t="shared" si="4"/>
        <v>71.711442059102964</v>
      </c>
    </row>
    <row r="63" spans="1:7" x14ac:dyDescent="0.35">
      <c r="A63" s="11">
        <v>19511</v>
      </c>
      <c r="B63" s="6">
        <v>243</v>
      </c>
      <c r="C63" s="12">
        <f t="shared" si="2"/>
        <v>229.11249237731607</v>
      </c>
      <c r="D63" s="12">
        <f t="shared" si="3"/>
        <v>2.4275952740792892</v>
      </c>
      <c r="F63" s="12">
        <f t="shared" si="1"/>
        <v>231.54008765139537</v>
      </c>
      <c r="G63" s="12">
        <f t="shared" si="4"/>
        <v>131.32959103770094</v>
      </c>
    </row>
    <row r="64" spans="1:7" x14ac:dyDescent="0.35">
      <c r="A64" s="11">
        <v>19541</v>
      </c>
      <c r="B64" s="6">
        <v>264</v>
      </c>
      <c r="C64" s="12">
        <f t="shared" si="2"/>
        <v>242.84776652436116</v>
      </c>
      <c r="D64" s="12">
        <f t="shared" si="3"/>
        <v>2.4299337020702185</v>
      </c>
      <c r="F64" s="12">
        <f t="shared" si="1"/>
        <v>245.27770022643139</v>
      </c>
      <c r="G64" s="12">
        <f t="shared" si="4"/>
        <v>350.52450881136713</v>
      </c>
    </row>
    <row r="65" spans="1:7" x14ac:dyDescent="0.35">
      <c r="A65" s="11">
        <v>19572</v>
      </c>
      <c r="B65" s="6">
        <v>272</v>
      </c>
      <c r="C65" s="12">
        <f t="shared" si="2"/>
        <v>263.75129296980788</v>
      </c>
      <c r="D65" s="12">
        <f t="shared" si="3"/>
        <v>2.4337540410495491</v>
      </c>
      <c r="F65" s="12">
        <f t="shared" si="1"/>
        <v>266.18504701085743</v>
      </c>
      <c r="G65" s="12">
        <f t="shared" si="4"/>
        <v>33.813678265938094</v>
      </c>
    </row>
    <row r="66" spans="1:7" x14ac:dyDescent="0.35">
      <c r="A66" s="11">
        <v>19603</v>
      </c>
      <c r="B66" s="6">
        <v>237</v>
      </c>
      <c r="C66" s="12">
        <f t="shared" si="2"/>
        <v>271.92275416449223</v>
      </c>
      <c r="D66" s="12">
        <f t="shared" si="3"/>
        <v>2.4349405988889208</v>
      </c>
      <c r="F66" s="12">
        <f t="shared" si="1"/>
        <v>274.35769476338118</v>
      </c>
      <c r="G66" s="12">
        <f t="shared" si="4"/>
        <v>1395.5973580339573</v>
      </c>
    </row>
    <row r="67" spans="1:7" x14ac:dyDescent="0.35">
      <c r="A67" s="11">
        <v>19633</v>
      </c>
      <c r="B67" s="6">
        <v>211</v>
      </c>
      <c r="C67" s="12">
        <f t="shared" si="2"/>
        <v>237.49625961723675</v>
      </c>
      <c r="D67" s="12">
        <f t="shared" si="3"/>
        <v>2.4273176541006984</v>
      </c>
      <c r="F67" s="12">
        <f t="shared" si="1"/>
        <v>239.92357727133745</v>
      </c>
      <c r="G67" s="12">
        <f t="shared" si="4"/>
        <v>836.57332217102839</v>
      </c>
    </row>
    <row r="68" spans="1:7" x14ac:dyDescent="0.35">
      <c r="A68" s="11">
        <v>19664</v>
      </c>
      <c r="B68" s="6">
        <v>180</v>
      </c>
      <c r="C68" s="12">
        <f t="shared" si="2"/>
        <v>211.38422080047243</v>
      </c>
      <c r="D68" s="12">
        <f t="shared" si="3"/>
        <v>2.4214157151825235</v>
      </c>
      <c r="F68" s="12">
        <f t="shared" si="1"/>
        <v>213.80563651565495</v>
      </c>
      <c r="G68" s="12">
        <f t="shared" si="4"/>
        <v>1142.8210602285835</v>
      </c>
    </row>
    <row r="69" spans="1:7" x14ac:dyDescent="0.35">
      <c r="A69" s="11">
        <v>19694</v>
      </c>
      <c r="B69" s="6">
        <v>201</v>
      </c>
      <c r="C69" s="12">
        <f t="shared" si="2"/>
        <v>180.44907407547396</v>
      </c>
      <c r="D69" s="12">
        <f t="shared" si="3"/>
        <v>2.4145175780698942</v>
      </c>
      <c r="F69" s="12">
        <f t="shared" si="1"/>
        <v>182.86359165354386</v>
      </c>
      <c r="G69" s="12">
        <f t="shared" si="4"/>
        <v>328.92930770940382</v>
      </c>
    </row>
    <row r="70" spans="1:7" x14ac:dyDescent="0.35">
      <c r="A70" s="11">
        <v>19725</v>
      </c>
      <c r="B70" s="6">
        <v>204</v>
      </c>
      <c r="C70" s="12">
        <f t="shared" si="2"/>
        <v>200.75907595152566</v>
      </c>
      <c r="D70" s="12">
        <f t="shared" si="3"/>
        <v>2.4182183642227169</v>
      </c>
      <c r="F70" s="12">
        <f t="shared" si="1"/>
        <v>203.17729431574838</v>
      </c>
      <c r="G70" s="12">
        <f t="shared" si="4"/>
        <v>0.67684464289992019</v>
      </c>
    </row>
    <row r="71" spans="1:7" x14ac:dyDescent="0.35">
      <c r="A71" s="11">
        <v>19756</v>
      </c>
      <c r="B71" s="6">
        <v>188</v>
      </c>
      <c r="C71" s="12">
        <f t="shared" si="2"/>
        <v>203.98907117769039</v>
      </c>
      <c r="D71" s="12">
        <f t="shared" si="3"/>
        <v>2.4183862396777664</v>
      </c>
      <c r="F71" s="12">
        <f t="shared" si="1"/>
        <v>206.40745741736816</v>
      </c>
      <c r="G71" s="12">
        <f t="shared" si="4"/>
        <v>338.83448857222226</v>
      </c>
    </row>
    <row r="72" spans="1:7" x14ac:dyDescent="0.35">
      <c r="A72" s="11">
        <v>19784</v>
      </c>
      <c r="B72" s="6">
        <v>235</v>
      </c>
      <c r="C72" s="12">
        <f t="shared" si="2"/>
        <v>188.24452466433232</v>
      </c>
      <c r="D72" s="12">
        <f t="shared" si="3"/>
        <v>2.4146301451844385</v>
      </c>
      <c r="F72" s="12">
        <f t="shared" si="1"/>
        <v>190.65915480951676</v>
      </c>
      <c r="G72" s="12">
        <f t="shared" si="4"/>
        <v>1966.1105522064004</v>
      </c>
    </row>
    <row r="73" spans="1:7" x14ac:dyDescent="0.35">
      <c r="A73" s="11">
        <v>19815</v>
      </c>
      <c r="B73" s="6">
        <v>227</v>
      </c>
      <c r="C73" s="12">
        <f t="shared" si="2"/>
        <v>234.41097621248963</v>
      </c>
      <c r="D73" s="12">
        <f t="shared" si="3"/>
        <v>2.4236780218505736</v>
      </c>
      <c r="F73" s="12">
        <f t="shared" si="1"/>
        <v>236.83465423434021</v>
      </c>
      <c r="G73" s="12">
        <f t="shared" si="4"/>
        <v>96.720423909025754</v>
      </c>
    </row>
    <row r="74" spans="1:7" x14ac:dyDescent="0.35">
      <c r="A74" s="11">
        <v>19845</v>
      </c>
      <c r="B74" s="6">
        <v>234</v>
      </c>
      <c r="C74" s="12">
        <f t="shared" si="2"/>
        <v>227.13064354684897</v>
      </c>
      <c r="D74" s="12">
        <f t="shared" si="3"/>
        <v>2.4216712324404002</v>
      </c>
      <c r="F74" s="12">
        <f t="shared" si="1"/>
        <v>229.55231477928936</v>
      </c>
      <c r="G74" s="12">
        <f t="shared" si="4"/>
        <v>19.781903822527845</v>
      </c>
    </row>
    <row r="75" spans="1:7" x14ac:dyDescent="0.35">
      <c r="A75" s="11">
        <v>19876</v>
      </c>
      <c r="B75" s="6">
        <v>264</v>
      </c>
      <c r="C75" s="12">
        <f t="shared" si="2"/>
        <v>233.94091694952809</v>
      </c>
      <c r="D75" s="12">
        <f t="shared" si="3"/>
        <v>2.4225787953692057</v>
      </c>
      <c r="F75" s="12">
        <f t="shared" ref="F75:F117" si="5">C75+D75</f>
        <v>236.36349574489731</v>
      </c>
      <c r="G75" s="12">
        <f t="shared" si="4"/>
        <v>763.77636744230927</v>
      </c>
    </row>
    <row r="76" spans="1:7" x14ac:dyDescent="0.35">
      <c r="A76" s="11">
        <v>19906</v>
      </c>
      <c r="B76" s="6">
        <v>302</v>
      </c>
      <c r="C76" s="12">
        <f t="shared" ref="C76:C117" si="6">B75*$E$2+(C75+D75)*(1-$E$2)</f>
        <v>263.63287667747522</v>
      </c>
      <c r="D76" s="12">
        <f t="shared" ref="D76:D117" si="7">(C76-C75)*$E$3+D75*(1-$E$3)</f>
        <v>2.428218103346063</v>
      </c>
      <c r="F76" s="12">
        <f t="shared" si="5"/>
        <v>266.06109478082129</v>
      </c>
      <c r="G76" s="12">
        <f t="shared" ref="G76:G117" si="8">(F76-B76)^2</f>
        <v>1291.6049083531104</v>
      </c>
    </row>
    <row r="77" spans="1:7" x14ac:dyDescent="0.35">
      <c r="A77" s="11">
        <v>19937</v>
      </c>
      <c r="B77" s="6">
        <v>293</v>
      </c>
      <c r="C77" s="12">
        <f t="shared" si="6"/>
        <v>301.52258758306846</v>
      </c>
      <c r="D77" s="12">
        <f t="shared" si="7"/>
        <v>2.4355515400575682</v>
      </c>
      <c r="F77" s="12">
        <f t="shared" si="5"/>
        <v>303.95813912312605</v>
      </c>
      <c r="G77" s="12">
        <f t="shared" si="8"/>
        <v>120.08081304178566</v>
      </c>
    </row>
    <row r="78" spans="1:7" x14ac:dyDescent="0.35">
      <c r="A78" s="11">
        <v>19968</v>
      </c>
      <c r="B78" s="6">
        <v>259</v>
      </c>
      <c r="C78" s="12">
        <f t="shared" si="6"/>
        <v>293.1455679201116</v>
      </c>
      <c r="D78" s="12">
        <f t="shared" si="7"/>
        <v>2.4333155003327849</v>
      </c>
      <c r="F78" s="12">
        <f t="shared" si="5"/>
        <v>295.57888342044441</v>
      </c>
      <c r="G78" s="12">
        <f t="shared" si="8"/>
        <v>1338.0147122864632</v>
      </c>
    </row>
    <row r="79" spans="1:7" x14ac:dyDescent="0.35">
      <c r="A79" s="11">
        <v>19998</v>
      </c>
      <c r="B79" s="6">
        <v>229</v>
      </c>
      <c r="C79" s="12">
        <f t="shared" si="6"/>
        <v>259.48591388735719</v>
      </c>
      <c r="D79" s="12">
        <f t="shared" si="7"/>
        <v>2.4258514742333426</v>
      </c>
      <c r="F79" s="12">
        <f t="shared" si="5"/>
        <v>261.91176536159054</v>
      </c>
      <c r="G79" s="12">
        <f t="shared" si="8"/>
        <v>1083.1842992163909</v>
      </c>
    </row>
    <row r="80" spans="1:7" x14ac:dyDescent="0.35">
      <c r="A80" s="11">
        <v>20029</v>
      </c>
      <c r="B80" s="6">
        <v>203</v>
      </c>
      <c r="C80" s="12">
        <f t="shared" si="6"/>
        <v>229.43719989106336</v>
      </c>
      <c r="D80" s="12">
        <f t="shared" si="7"/>
        <v>2.4191357340940378</v>
      </c>
      <c r="F80" s="12">
        <f t="shared" si="5"/>
        <v>231.85633562515739</v>
      </c>
      <c r="G80" s="12">
        <f t="shared" si="8"/>
        <v>832.6881057117273</v>
      </c>
    </row>
    <row r="81" spans="1:7" x14ac:dyDescent="0.35">
      <c r="A81" s="11">
        <v>20059</v>
      </c>
      <c r="B81" s="6">
        <v>229</v>
      </c>
      <c r="C81" s="12">
        <f t="shared" si="6"/>
        <v>203.38332756244458</v>
      </c>
      <c r="D81" s="12">
        <f t="shared" si="7"/>
        <v>2.4132475160266691</v>
      </c>
      <c r="F81" s="12">
        <f t="shared" si="5"/>
        <v>205.79657507847125</v>
      </c>
      <c r="G81" s="12">
        <f t="shared" si="8"/>
        <v>538.39892808902152</v>
      </c>
    </row>
    <row r="82" spans="1:7" x14ac:dyDescent="0.35">
      <c r="A82" s="11">
        <v>20090</v>
      </c>
      <c r="B82" s="6">
        <v>242</v>
      </c>
      <c r="C82" s="12">
        <f t="shared" si="6"/>
        <v>228.69176570334241</v>
      </c>
      <c r="D82" s="12">
        <f t="shared" si="7"/>
        <v>2.4179822414478926</v>
      </c>
      <c r="F82" s="12">
        <f t="shared" si="5"/>
        <v>231.10974794479031</v>
      </c>
      <c r="G82" s="12">
        <f t="shared" si="8"/>
        <v>118.5975898259988</v>
      </c>
    </row>
    <row r="83" spans="1:7" x14ac:dyDescent="0.35">
      <c r="A83" s="11">
        <v>20121</v>
      </c>
      <c r="B83" s="6">
        <v>233</v>
      </c>
      <c r="C83" s="12">
        <f t="shared" si="6"/>
        <v>241.85533389169859</v>
      </c>
      <c r="D83" s="12">
        <f t="shared" si="7"/>
        <v>2.4202044286217137</v>
      </c>
      <c r="F83" s="12">
        <f t="shared" si="5"/>
        <v>244.27553832032029</v>
      </c>
      <c r="G83" s="12">
        <f t="shared" si="8"/>
        <v>127.1377644130114</v>
      </c>
    </row>
    <row r="84" spans="1:7" x14ac:dyDescent="0.35">
      <c r="A84" s="11">
        <v>20149</v>
      </c>
      <c r="B84" s="6">
        <v>267</v>
      </c>
      <c r="C84" s="12">
        <f t="shared" si="6"/>
        <v>233.14978425104712</v>
      </c>
      <c r="D84" s="12">
        <f t="shared" si="7"/>
        <v>2.4179036226801882</v>
      </c>
      <c r="F84" s="12">
        <f t="shared" si="5"/>
        <v>235.56768787372732</v>
      </c>
      <c r="G84" s="12">
        <f t="shared" si="8"/>
        <v>987.99024560342843</v>
      </c>
    </row>
    <row r="85" spans="1:7" x14ac:dyDescent="0.35">
      <c r="A85" s="11">
        <v>20180</v>
      </c>
      <c r="B85" s="6">
        <v>269</v>
      </c>
      <c r="C85" s="12">
        <f t="shared" si="6"/>
        <v>266.58245316571458</v>
      </c>
      <c r="D85" s="12">
        <f t="shared" si="7"/>
        <v>2.424317476142571</v>
      </c>
      <c r="F85" s="12">
        <f t="shared" si="5"/>
        <v>269.00677064185714</v>
      </c>
      <c r="G85" s="12">
        <f t="shared" si="8"/>
        <v>4.5841591157719968E-5</v>
      </c>
    </row>
    <row r="86" spans="1:7" x14ac:dyDescent="0.35">
      <c r="A86" s="11">
        <v>20210</v>
      </c>
      <c r="B86" s="6">
        <v>270</v>
      </c>
      <c r="C86" s="12">
        <f t="shared" si="6"/>
        <v>269.0000899412064</v>
      </c>
      <c r="D86" s="12">
        <f t="shared" si="7"/>
        <v>2.4243160945736761</v>
      </c>
      <c r="F86" s="12">
        <f t="shared" si="5"/>
        <v>271.42440603578007</v>
      </c>
      <c r="G86" s="12">
        <f t="shared" si="8"/>
        <v>2.0289325547666834</v>
      </c>
    </row>
    <row r="87" spans="1:7" x14ac:dyDescent="0.35">
      <c r="A87" s="11">
        <v>20241</v>
      </c>
      <c r="B87" s="6">
        <v>315</v>
      </c>
      <c r="C87" s="12">
        <f t="shared" si="6"/>
        <v>270.01892180977927</v>
      </c>
      <c r="D87" s="12">
        <f t="shared" si="7"/>
        <v>2.4240254404357393</v>
      </c>
      <c r="F87" s="12">
        <f t="shared" si="5"/>
        <v>272.44294725021501</v>
      </c>
      <c r="G87" s="12">
        <f t="shared" si="8"/>
        <v>1811.1027387479819</v>
      </c>
    </row>
    <row r="88" spans="1:7" x14ac:dyDescent="0.35">
      <c r="A88" s="11">
        <v>20271</v>
      </c>
      <c r="B88" s="6">
        <v>364</v>
      </c>
      <c r="C88" s="12">
        <f t="shared" si="6"/>
        <v>314.43467211127182</v>
      </c>
      <c r="D88" s="12">
        <f t="shared" si="7"/>
        <v>2.4327093291370061</v>
      </c>
      <c r="F88" s="12">
        <f t="shared" si="5"/>
        <v>316.86738144040885</v>
      </c>
      <c r="G88" s="12">
        <f t="shared" si="8"/>
        <v>2221.4837322839162</v>
      </c>
    </row>
    <row r="89" spans="1:7" x14ac:dyDescent="0.35">
      <c r="A89" s="11">
        <v>20302</v>
      </c>
      <c r="B89" s="6">
        <v>347</v>
      </c>
      <c r="C89" s="12">
        <f t="shared" si="6"/>
        <v>363.37389029505437</v>
      </c>
      <c r="D89" s="12">
        <f t="shared" si="7"/>
        <v>2.4423268751681468</v>
      </c>
      <c r="F89" s="12">
        <f t="shared" si="5"/>
        <v>365.8162171702225</v>
      </c>
      <c r="G89" s="12">
        <f t="shared" si="8"/>
        <v>354.05002859697606</v>
      </c>
    </row>
    <row r="90" spans="1:7" x14ac:dyDescent="0.35">
      <c r="A90" s="11">
        <v>20333</v>
      </c>
      <c r="B90" s="6">
        <v>312</v>
      </c>
      <c r="C90" s="12">
        <f t="shared" si="6"/>
        <v>347.24995462888927</v>
      </c>
      <c r="D90" s="12">
        <f t="shared" si="7"/>
        <v>2.438487372074599</v>
      </c>
      <c r="F90" s="12">
        <f t="shared" si="5"/>
        <v>349.68844200096385</v>
      </c>
      <c r="G90" s="12">
        <f t="shared" si="8"/>
        <v>1420.4186604600156</v>
      </c>
    </row>
    <row r="91" spans="1:7" x14ac:dyDescent="0.35">
      <c r="A91" s="11">
        <v>20363</v>
      </c>
      <c r="B91" s="6">
        <v>274</v>
      </c>
      <c r="C91" s="12">
        <f t="shared" si="6"/>
        <v>312.50065326354081</v>
      </c>
      <c r="D91" s="12">
        <f t="shared" si="7"/>
        <v>2.4307969373636999</v>
      </c>
      <c r="F91" s="12">
        <f t="shared" si="5"/>
        <v>314.93145020090452</v>
      </c>
      <c r="G91" s="12">
        <f t="shared" si="8"/>
        <v>1675.3836155491267</v>
      </c>
    </row>
    <row r="92" spans="1:7" x14ac:dyDescent="0.35">
      <c r="A92" s="11">
        <v>20394</v>
      </c>
      <c r="B92" s="6">
        <v>237</v>
      </c>
      <c r="C92" s="12">
        <f t="shared" si="6"/>
        <v>274.54373338446879</v>
      </c>
      <c r="D92" s="12">
        <f t="shared" si="7"/>
        <v>2.422444757526061</v>
      </c>
      <c r="F92" s="12">
        <f t="shared" si="5"/>
        <v>276.96617814199487</v>
      </c>
      <c r="G92" s="12">
        <f t="shared" si="8"/>
        <v>1597.2953952776688</v>
      </c>
    </row>
    <row r="93" spans="1:7" x14ac:dyDescent="0.35">
      <c r="A93" s="11">
        <v>20424</v>
      </c>
      <c r="B93" s="6">
        <v>278</v>
      </c>
      <c r="C93" s="12">
        <f t="shared" si="6"/>
        <v>237.53091071043826</v>
      </c>
      <c r="D93" s="12">
        <f t="shared" si="7"/>
        <v>2.4142895442212149</v>
      </c>
      <c r="F93" s="12">
        <f t="shared" si="5"/>
        <v>239.94520025465948</v>
      </c>
      <c r="G93" s="12">
        <f t="shared" si="8"/>
        <v>1448.1677836579688</v>
      </c>
    </row>
    <row r="94" spans="1:7" x14ac:dyDescent="0.35">
      <c r="A94" s="11">
        <v>20455</v>
      </c>
      <c r="B94" s="6">
        <v>284</v>
      </c>
      <c r="C94" s="12">
        <f t="shared" si="6"/>
        <v>277.49448004018291</v>
      </c>
      <c r="D94" s="12">
        <f t="shared" si="7"/>
        <v>2.4220547352808617</v>
      </c>
      <c r="F94" s="12">
        <f t="shared" si="5"/>
        <v>279.91653477546379</v>
      </c>
      <c r="G94" s="12">
        <f t="shared" si="8"/>
        <v>16.674688239996577</v>
      </c>
    </row>
    <row r="95" spans="1:7" x14ac:dyDescent="0.35">
      <c r="A95" s="11">
        <v>20486</v>
      </c>
      <c r="B95" s="6">
        <v>277</v>
      </c>
      <c r="C95" s="12">
        <f t="shared" si="6"/>
        <v>283.94575524795727</v>
      </c>
      <c r="D95" s="12">
        <f t="shared" si="7"/>
        <v>2.4228879780745736</v>
      </c>
      <c r="F95" s="12">
        <f t="shared" si="5"/>
        <v>286.36864322603185</v>
      </c>
      <c r="G95" s="12">
        <f t="shared" si="8"/>
        <v>87.77147589667247</v>
      </c>
    </row>
    <row r="96" spans="1:7" x14ac:dyDescent="0.35">
      <c r="A96" s="11">
        <v>20515</v>
      </c>
      <c r="B96" s="6">
        <v>317</v>
      </c>
      <c r="C96" s="12">
        <f t="shared" si="6"/>
        <v>277.12445305661458</v>
      </c>
      <c r="D96" s="12">
        <f t="shared" si="7"/>
        <v>2.4209762795475385</v>
      </c>
      <c r="F96" s="12">
        <f t="shared" si="5"/>
        <v>279.5454293361621</v>
      </c>
      <c r="G96" s="12">
        <f t="shared" si="8"/>
        <v>1402.8448636124265</v>
      </c>
    </row>
    <row r="97" spans="1:7" x14ac:dyDescent="0.35">
      <c r="A97" s="11">
        <v>20546</v>
      </c>
      <c r="B97" s="6">
        <v>313</v>
      </c>
      <c r="C97" s="12">
        <f t="shared" si="6"/>
        <v>316.50245348330157</v>
      </c>
      <c r="D97" s="12">
        <f t="shared" si="7"/>
        <v>2.4286189921411667</v>
      </c>
      <c r="F97" s="12">
        <f t="shared" si="5"/>
        <v>318.9310724754427</v>
      </c>
      <c r="G97" s="12">
        <f t="shared" si="8"/>
        <v>35.177620708954045</v>
      </c>
    </row>
    <row r="98" spans="1:7" x14ac:dyDescent="0.35">
      <c r="A98" s="11">
        <v>20576</v>
      </c>
      <c r="B98" s="6">
        <v>318</v>
      </c>
      <c r="C98" s="12">
        <f t="shared" si="6"/>
        <v>313.07878836676377</v>
      </c>
      <c r="D98" s="12">
        <f t="shared" si="7"/>
        <v>2.4274087397874919</v>
      </c>
      <c r="F98" s="12">
        <f t="shared" si="5"/>
        <v>315.50619710655127</v>
      </c>
      <c r="G98" s="12">
        <f t="shared" si="8"/>
        <v>6.2190528713732611</v>
      </c>
    </row>
    <row r="99" spans="1:7" x14ac:dyDescent="0.35">
      <c r="A99" s="11">
        <v>20607</v>
      </c>
      <c r="B99" s="6">
        <v>374</v>
      </c>
      <c r="C99" s="12">
        <f t="shared" si="6"/>
        <v>317.96687232236343</v>
      </c>
      <c r="D99" s="12">
        <f t="shared" si="7"/>
        <v>2.4279176074221223</v>
      </c>
      <c r="F99" s="12">
        <f t="shared" si="5"/>
        <v>320.39478992978553</v>
      </c>
      <c r="G99" s="12">
        <f t="shared" si="8"/>
        <v>2873.5185466718226</v>
      </c>
    </row>
    <row r="100" spans="1:7" x14ac:dyDescent="0.35">
      <c r="A100" s="11">
        <v>20637</v>
      </c>
      <c r="B100" s="6">
        <v>413</v>
      </c>
      <c r="C100" s="12">
        <f t="shared" si="6"/>
        <v>373.28790838942729</v>
      </c>
      <c r="D100" s="12">
        <f t="shared" si="7"/>
        <v>2.4388559043195763</v>
      </c>
      <c r="F100" s="12">
        <f t="shared" si="5"/>
        <v>375.72676429374684</v>
      </c>
      <c r="G100" s="12">
        <f t="shared" si="8"/>
        <v>1389.2941000139056</v>
      </c>
    </row>
    <row r="101" spans="1:7" x14ac:dyDescent="0.35">
      <c r="A101" s="11">
        <v>20668</v>
      </c>
      <c r="B101" s="6">
        <v>405</v>
      </c>
      <c r="C101" s="12">
        <f t="shared" si="6"/>
        <v>412.50486233687815</v>
      </c>
      <c r="D101" s="12">
        <f t="shared" si="7"/>
        <v>2.4464616149948957</v>
      </c>
      <c r="F101" s="12">
        <f t="shared" si="5"/>
        <v>414.95132395187306</v>
      </c>
      <c r="G101" s="12">
        <f t="shared" si="8"/>
        <v>99.028848395122537</v>
      </c>
    </row>
    <row r="102" spans="1:7" x14ac:dyDescent="0.35">
      <c r="A102" s="11">
        <v>20699</v>
      </c>
      <c r="B102" s="6">
        <v>355</v>
      </c>
      <c r="C102" s="12">
        <f t="shared" si="6"/>
        <v>405.13219338737667</v>
      </c>
      <c r="D102" s="12">
        <f t="shared" si="7"/>
        <v>2.4444310187941576</v>
      </c>
      <c r="F102" s="12">
        <f t="shared" si="5"/>
        <v>407.57662440617082</v>
      </c>
      <c r="G102" s="12">
        <f t="shared" si="8"/>
        <v>2764.3014339475571</v>
      </c>
    </row>
    <row r="103" spans="1:7" x14ac:dyDescent="0.35">
      <c r="A103" s="11">
        <v>20729</v>
      </c>
      <c r="B103" s="6">
        <v>306</v>
      </c>
      <c r="C103" s="12">
        <f t="shared" si="6"/>
        <v>355.69842787861154</v>
      </c>
      <c r="D103" s="12">
        <f t="shared" si="7"/>
        <v>2.4337026077522586</v>
      </c>
      <c r="F103" s="12">
        <f t="shared" si="5"/>
        <v>358.13213048636379</v>
      </c>
      <c r="G103" s="12">
        <f t="shared" si="8"/>
        <v>2717.7590290472613</v>
      </c>
    </row>
    <row r="104" spans="1:7" x14ac:dyDescent="0.35">
      <c r="A104" s="11">
        <v>20760</v>
      </c>
      <c r="B104" s="6">
        <v>271</v>
      </c>
      <c r="C104" s="12">
        <f t="shared" si="6"/>
        <v>306.69252322138084</v>
      </c>
      <c r="D104" s="12">
        <f t="shared" si="7"/>
        <v>2.4230648969698603</v>
      </c>
      <c r="F104" s="12">
        <f t="shared" si="5"/>
        <v>309.11558811835067</v>
      </c>
      <c r="G104" s="12">
        <f t="shared" si="8"/>
        <v>1452.798057607755</v>
      </c>
    </row>
    <row r="105" spans="1:7" x14ac:dyDescent="0.35">
      <c r="A105" s="11">
        <v>20790</v>
      </c>
      <c r="B105" s="6">
        <v>306</v>
      </c>
      <c r="C105" s="12">
        <f t="shared" si="6"/>
        <v>271.50632747256418</v>
      </c>
      <c r="D105" s="12">
        <f t="shared" si="7"/>
        <v>2.4152873018683114</v>
      </c>
      <c r="F105" s="12">
        <f t="shared" si="5"/>
        <v>273.9216147744325</v>
      </c>
      <c r="G105" s="12">
        <f t="shared" si="8"/>
        <v>1029.0227986799073</v>
      </c>
    </row>
    <row r="106" spans="1:7" x14ac:dyDescent="0.35">
      <c r="A106" s="11">
        <v>20821</v>
      </c>
      <c r="B106" s="6">
        <v>315</v>
      </c>
      <c r="C106" s="12">
        <f t="shared" si="6"/>
        <v>305.57387073066354</v>
      </c>
      <c r="D106" s="12">
        <f t="shared" si="7"/>
        <v>2.4218329884000598</v>
      </c>
      <c r="F106" s="12">
        <f t="shared" si="5"/>
        <v>307.99570371906361</v>
      </c>
      <c r="G106" s="12">
        <f t="shared" si="8"/>
        <v>49.060166391139305</v>
      </c>
    </row>
    <row r="107" spans="1:7" x14ac:dyDescent="0.35">
      <c r="A107" s="11">
        <v>20852</v>
      </c>
      <c r="B107" s="6">
        <v>301</v>
      </c>
      <c r="C107" s="12">
        <f t="shared" si="6"/>
        <v>314.90695492820402</v>
      </c>
      <c r="D107" s="12">
        <f t="shared" si="7"/>
        <v>2.4232622351501103</v>
      </c>
      <c r="F107" s="12">
        <f t="shared" si="5"/>
        <v>317.33021716335412</v>
      </c>
      <c r="G107" s="12">
        <f t="shared" si="8"/>
        <v>266.67599260230548</v>
      </c>
    </row>
    <row r="108" spans="1:7" x14ac:dyDescent="0.35">
      <c r="A108" s="11">
        <v>20880</v>
      </c>
      <c r="B108" s="6">
        <v>356</v>
      </c>
      <c r="C108" s="12">
        <f t="shared" si="6"/>
        <v>301.21693060479799</v>
      </c>
      <c r="D108" s="12">
        <f t="shared" si="7"/>
        <v>2.4199300074898011</v>
      </c>
      <c r="F108" s="12">
        <f t="shared" si="5"/>
        <v>303.63686061228782</v>
      </c>
      <c r="G108" s="12">
        <f t="shared" si="8"/>
        <v>2741.8983665369747</v>
      </c>
    </row>
    <row r="109" spans="1:7" x14ac:dyDescent="0.35">
      <c r="A109" s="11">
        <v>20911</v>
      </c>
      <c r="B109" s="6">
        <v>348</v>
      </c>
      <c r="C109" s="12">
        <f t="shared" si="6"/>
        <v>355.30440805637363</v>
      </c>
      <c r="D109" s="12">
        <f t="shared" si="7"/>
        <v>2.4306148563012382</v>
      </c>
      <c r="F109" s="12">
        <f t="shared" si="5"/>
        <v>357.73502291267488</v>
      </c>
      <c r="G109" s="12">
        <f t="shared" si="8"/>
        <v>94.770671110304875</v>
      </c>
    </row>
    <row r="110" spans="1:7" x14ac:dyDescent="0.35">
      <c r="A110" s="11">
        <v>20941</v>
      </c>
      <c r="B110" s="6">
        <v>355</v>
      </c>
      <c r="C110" s="12">
        <f t="shared" si="6"/>
        <v>348.12932004437198</v>
      </c>
      <c r="D110" s="12">
        <f t="shared" si="7"/>
        <v>2.4286283969480733</v>
      </c>
      <c r="F110" s="12">
        <f t="shared" si="5"/>
        <v>350.55794844132004</v>
      </c>
      <c r="G110" s="12">
        <f t="shared" si="8"/>
        <v>19.731822049971097</v>
      </c>
    </row>
    <row r="111" spans="1:7" x14ac:dyDescent="0.35">
      <c r="A111" s="11">
        <v>20972</v>
      </c>
      <c r="B111" s="6">
        <v>422</v>
      </c>
      <c r="C111" s="12">
        <f t="shared" si="6"/>
        <v>354.94099178709445</v>
      </c>
      <c r="D111" s="12">
        <f t="shared" si="7"/>
        <v>2.4295348103119796</v>
      </c>
      <c r="F111" s="12">
        <f t="shared" si="5"/>
        <v>357.37052659740641</v>
      </c>
      <c r="G111" s="12">
        <f t="shared" si="8"/>
        <v>4176.9688322965521</v>
      </c>
    </row>
    <row r="112" spans="1:7" x14ac:dyDescent="0.35">
      <c r="A112" s="11">
        <v>21002</v>
      </c>
      <c r="B112" s="6">
        <v>465</v>
      </c>
      <c r="C112" s="12">
        <f t="shared" si="6"/>
        <v>421.14146207531996</v>
      </c>
      <c r="D112" s="12">
        <f t="shared" si="7"/>
        <v>2.4427226397688124</v>
      </c>
      <c r="F112" s="12">
        <f t="shared" si="5"/>
        <v>423.58418471508878</v>
      </c>
      <c r="G112" s="12">
        <f t="shared" si="8"/>
        <v>1715.2697557138856</v>
      </c>
    </row>
    <row r="113" spans="1:7" x14ac:dyDescent="0.35">
      <c r="A113" s="11">
        <v>21033</v>
      </c>
      <c r="B113" s="6">
        <v>467</v>
      </c>
      <c r="C113" s="12">
        <f t="shared" si="6"/>
        <v>464.44983230975527</v>
      </c>
      <c r="D113" s="12">
        <f t="shared" si="7"/>
        <v>2.4511736556913895</v>
      </c>
      <c r="F113" s="12">
        <f t="shared" si="5"/>
        <v>466.90100596544664</v>
      </c>
      <c r="G113" s="12">
        <f t="shared" si="8"/>
        <v>9.7998188771512128E-3</v>
      </c>
    </row>
    <row r="114" spans="1:7" x14ac:dyDescent="0.35">
      <c r="A114" s="11">
        <v>21064</v>
      </c>
      <c r="B114" s="6">
        <v>404</v>
      </c>
      <c r="C114" s="12">
        <f t="shared" si="6"/>
        <v>466.99868496324501</v>
      </c>
      <c r="D114" s="12">
        <f t="shared" si="7"/>
        <v>2.4511938557081345</v>
      </c>
      <c r="F114" s="12">
        <f t="shared" si="5"/>
        <v>469.44987881895315</v>
      </c>
      <c r="G114" s="12">
        <f t="shared" si="8"/>
        <v>4283.6866374156525</v>
      </c>
    </row>
    <row r="115" spans="1:7" x14ac:dyDescent="0.35">
      <c r="A115" s="11">
        <v>21094</v>
      </c>
      <c r="B115" s="6">
        <v>347</v>
      </c>
      <c r="C115" s="12">
        <f t="shared" si="6"/>
        <v>404.86943619023094</v>
      </c>
      <c r="D115" s="12">
        <f t="shared" si="7"/>
        <v>2.4378386201725148</v>
      </c>
      <c r="F115" s="12">
        <f t="shared" si="5"/>
        <v>407.30727481040344</v>
      </c>
      <c r="G115" s="12">
        <f t="shared" si="8"/>
        <v>3636.9673950575216</v>
      </c>
    </row>
    <row r="116" spans="1:7" x14ac:dyDescent="0.35">
      <c r="A116" s="11">
        <v>21125</v>
      </c>
      <c r="B116" s="6">
        <v>305</v>
      </c>
      <c r="C116" s="12">
        <f t="shared" si="6"/>
        <v>347.80112183858142</v>
      </c>
      <c r="D116" s="12">
        <f t="shared" si="7"/>
        <v>2.4255327477379423</v>
      </c>
      <c r="F116" s="12">
        <f t="shared" si="5"/>
        <v>350.22665458631934</v>
      </c>
      <c r="G116" s="12">
        <f t="shared" si="8"/>
        <v>2045.4502850702404</v>
      </c>
    </row>
    <row r="117" spans="1:7" x14ac:dyDescent="0.35">
      <c r="A117" s="11">
        <v>21155</v>
      </c>
      <c r="B117" s="6">
        <v>336</v>
      </c>
      <c r="C117" s="12">
        <f t="shared" si="6"/>
        <v>305.60079087952465</v>
      </c>
      <c r="D117" s="12">
        <f t="shared" si="7"/>
        <v>2.4163041191233772</v>
      </c>
      <c r="F117" s="12">
        <f t="shared" si="5"/>
        <v>308.01709499864802</v>
      </c>
      <c r="G117" s="12">
        <f t="shared" si="8"/>
        <v>783.04297231468968</v>
      </c>
    </row>
  </sheetData>
  <mergeCells count="3">
    <mergeCell ref="I14:M24"/>
    <mergeCell ref="I8:J8"/>
    <mergeCell ref="C1:E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C1703-732B-41AA-871A-D64D8E6913E0}">
  <sheetPr codeName="Sheet9">
    <tabColor theme="9"/>
  </sheetPr>
  <dimension ref="A1:O117"/>
  <sheetViews>
    <sheetView workbookViewId="0">
      <selection activeCell="D6" sqref="D6"/>
    </sheetView>
  </sheetViews>
  <sheetFormatPr defaultRowHeight="14.5" x14ac:dyDescent="0.35"/>
  <cols>
    <col min="1" max="1" width="10.453125" style="6" bestFit="1" customWidth="1"/>
    <col min="2" max="2" width="22.36328125" style="6" bestFit="1" customWidth="1"/>
    <col min="3" max="3" width="9.81640625" style="6" bestFit="1" customWidth="1"/>
    <col min="4" max="5" width="17.26953125" style="6" customWidth="1"/>
    <col min="6" max="6" width="7.6328125" style="6" bestFit="1" customWidth="1"/>
    <col min="7" max="7" width="12.54296875" style="6" bestFit="1" customWidth="1"/>
    <col min="8" max="8" width="8.7265625" style="6"/>
    <col min="9" max="9" width="16.7265625" style="6" bestFit="1" customWidth="1"/>
    <col min="10" max="10" width="8.81640625" style="6" bestFit="1" customWidth="1"/>
    <col min="11" max="16384" width="8.7265625" style="6"/>
  </cols>
  <sheetData>
    <row r="1" spans="1:15" ht="15" thickBot="1" x14ac:dyDescent="0.4">
      <c r="C1" s="43" t="s">
        <v>0</v>
      </c>
      <c r="D1" s="43"/>
      <c r="E1" s="43"/>
      <c r="I1" s="8"/>
      <c r="J1" s="8"/>
    </row>
    <row r="2" spans="1:15" ht="15" thickBot="1" x14ac:dyDescent="0.4">
      <c r="D2" s="9" t="s">
        <v>1</v>
      </c>
      <c r="E2" s="2">
        <v>0.99574790000000002</v>
      </c>
      <c r="I2" s="8"/>
      <c r="J2" s="8"/>
    </row>
    <row r="3" spans="1:15" ht="15" thickBot="1" x14ac:dyDescent="0.4">
      <c r="D3" s="9" t="s">
        <v>9</v>
      </c>
      <c r="E3" s="2">
        <v>3.8189000000000001E-2</v>
      </c>
      <c r="I3" s="8"/>
      <c r="J3" s="8"/>
    </row>
    <row r="4" spans="1:15" x14ac:dyDescent="0.35">
      <c r="E4" s="7"/>
      <c r="I4" s="8"/>
      <c r="J4" s="8"/>
    </row>
    <row r="5" spans="1:15" x14ac:dyDescent="0.35">
      <c r="I5" s="8"/>
      <c r="J5" s="8"/>
    </row>
    <row r="8" spans="1:15" x14ac:dyDescent="0.35">
      <c r="A8" s="5" t="s">
        <v>2</v>
      </c>
      <c r="B8" s="5" t="s">
        <v>3</v>
      </c>
      <c r="C8" s="5" t="s">
        <v>4</v>
      </c>
      <c r="D8" s="5" t="s">
        <v>5</v>
      </c>
      <c r="E8" s="5" t="s">
        <v>6</v>
      </c>
      <c r="F8" s="5" t="s">
        <v>18</v>
      </c>
      <c r="G8" s="5" t="s">
        <v>7</v>
      </c>
      <c r="I8" s="43" t="s">
        <v>16</v>
      </c>
      <c r="J8" s="43"/>
      <c r="M8" s="7"/>
    </row>
    <row r="9" spans="1:15" ht="15" thickBot="1" x14ac:dyDescent="0.4">
      <c r="A9" s="5"/>
      <c r="B9" s="5"/>
      <c r="C9" s="5"/>
      <c r="D9" s="5"/>
      <c r="E9" s="5"/>
      <c r="F9" s="5"/>
      <c r="G9" s="5"/>
      <c r="I9" s="5"/>
      <c r="J9" s="5"/>
    </row>
    <row r="10" spans="1:15" ht="15" thickBot="1" x14ac:dyDescent="0.4">
      <c r="A10" s="11">
        <v>17899</v>
      </c>
      <c r="B10" s="6">
        <v>112</v>
      </c>
      <c r="C10" s="1">
        <v>107.61971</v>
      </c>
      <c r="D10" s="1">
        <v>0.98606079999999996</v>
      </c>
      <c r="F10" s="12">
        <f>C10*D10</f>
        <v>106.11957733836799</v>
      </c>
      <c r="G10" s="12">
        <f t="shared" ref="G10" si="0">(F10-B10)^2</f>
        <v>34.5793706794353</v>
      </c>
      <c r="I10" s="9" t="s">
        <v>8</v>
      </c>
      <c r="J10" s="16">
        <f>SUM(G10:G117)</f>
        <v>75494.763740402806</v>
      </c>
      <c r="O10" s="7"/>
    </row>
    <row r="11" spans="1:15" x14ac:dyDescent="0.35">
      <c r="A11" s="11">
        <v>17930</v>
      </c>
      <c r="B11" s="6">
        <v>118</v>
      </c>
      <c r="C11" s="12">
        <f>B10*$E$2+(C10*D10)*(1-$E$2)</f>
        <v>111.97499585480048</v>
      </c>
      <c r="D11" s="12">
        <f>(C11/C10)*$E$3+D10*(1-$E$3)</f>
        <v>0.9881386031990983</v>
      </c>
      <c r="F11" s="12">
        <f t="shared" ref="F11:F74" si="1">C11*D11</f>
        <v>110.64681599718737</v>
      </c>
      <c r="G11" s="12">
        <f>(F11-B11)^2</f>
        <v>54.069314979219506</v>
      </c>
      <c r="O11" s="7"/>
    </row>
    <row r="12" spans="1:15" x14ac:dyDescent="0.35">
      <c r="A12" s="11">
        <v>17958</v>
      </c>
      <c r="B12" s="6">
        <v>132</v>
      </c>
      <c r="C12" s="12">
        <f t="shared" ref="C12:C75" si="2">B11*$E$2+(C11*D11)*(1-$E$2)</f>
        <v>117.96873352630163</v>
      </c>
      <c r="D12" s="12">
        <f t="shared" ref="D12:D75" si="3">(C12/C11)*$E$3+D11*(1-$E$3)</f>
        <v>0.9906357384424157</v>
      </c>
      <c r="F12" s="12">
        <f t="shared" si="1"/>
        <v>116.86404344994438</v>
      </c>
      <c r="G12" s="12">
        <f t="shared" ref="G12:G75" si="4">(F12-B12)^2</f>
        <v>229.09718068517176</v>
      </c>
      <c r="O12" s="7"/>
    </row>
    <row r="13" spans="1:15" ht="15" thickBot="1" x14ac:dyDescent="0.4">
      <c r="A13" s="11">
        <v>17989</v>
      </c>
      <c r="B13" s="6">
        <v>129</v>
      </c>
      <c r="C13" s="12">
        <f t="shared" si="2"/>
        <v>131.9356403991535</v>
      </c>
      <c r="D13" s="12">
        <f t="shared" si="3"/>
        <v>0.99551473645051936</v>
      </c>
      <c r="F13" s="12">
        <f t="shared" si="1"/>
        <v>131.34387428039378</v>
      </c>
      <c r="G13" s="12">
        <f t="shared" si="4"/>
        <v>5.4937466422914465</v>
      </c>
      <c r="O13" s="7"/>
    </row>
    <row r="14" spans="1:15" x14ac:dyDescent="0.35">
      <c r="A14" s="11">
        <v>18019</v>
      </c>
      <c r="B14" s="6">
        <v>121</v>
      </c>
      <c r="C14" s="12">
        <f t="shared" si="2"/>
        <v>129.00996638782766</v>
      </c>
      <c r="D14" s="12">
        <f t="shared" si="3"/>
        <v>0.99483918276207273</v>
      </c>
      <c r="F14" s="12">
        <f t="shared" si="1"/>
        <v>128.34416952942894</v>
      </c>
      <c r="G14" s="12">
        <f t="shared" si="4"/>
        <v>53.936826076992482</v>
      </c>
      <c r="I14" s="34" t="s">
        <v>22</v>
      </c>
      <c r="J14" s="35"/>
      <c r="K14" s="35"/>
      <c r="L14" s="35"/>
      <c r="M14" s="36"/>
      <c r="O14" s="7"/>
    </row>
    <row r="15" spans="1:15" x14ac:dyDescent="0.35">
      <c r="A15" s="11">
        <v>18050</v>
      </c>
      <c r="B15" s="6">
        <v>135</v>
      </c>
      <c r="C15" s="12">
        <f t="shared" si="2"/>
        <v>121.03122814325609</v>
      </c>
      <c r="D15" s="12">
        <f t="shared" si="3"/>
        <v>0.9926744359102132</v>
      </c>
      <c r="F15" s="12">
        <f t="shared" si="1"/>
        <v>120.14460612462706</v>
      </c>
      <c r="G15" s="12">
        <f t="shared" si="4"/>
        <v>220.68272719246784</v>
      </c>
      <c r="I15" s="37"/>
      <c r="J15" s="38"/>
      <c r="K15" s="38"/>
      <c r="L15" s="38"/>
      <c r="M15" s="39"/>
      <c r="O15" s="7"/>
    </row>
    <row r="16" spans="1:15" x14ac:dyDescent="0.35">
      <c r="A16" s="11">
        <v>18080</v>
      </c>
      <c r="B16" s="6">
        <v>148</v>
      </c>
      <c r="C16" s="12">
        <f t="shared" si="2"/>
        <v>134.93683337970253</v>
      </c>
      <c r="D16" s="12">
        <f t="shared" si="3"/>
        <v>0.99734182940286986</v>
      </c>
      <c r="F16" s="12">
        <f t="shared" si="1"/>
        <v>134.57814825674276</v>
      </c>
      <c r="G16" s="12">
        <f t="shared" si="4"/>
        <v>180.1461042179773</v>
      </c>
      <c r="I16" s="37"/>
      <c r="J16" s="38"/>
      <c r="K16" s="38"/>
      <c r="L16" s="38"/>
      <c r="M16" s="39"/>
      <c r="O16" s="7"/>
    </row>
    <row r="17" spans="1:15" x14ac:dyDescent="0.35">
      <c r="A17" s="11">
        <v>18111</v>
      </c>
      <c r="B17" s="6">
        <v>148</v>
      </c>
      <c r="C17" s="12">
        <f t="shared" si="2"/>
        <v>147.94292894420252</v>
      </c>
      <c r="D17" s="12">
        <f t="shared" si="3"/>
        <v>1.0011242481605207</v>
      </c>
      <c r="F17" s="12">
        <f t="shared" si="1"/>
        <v>148.10925350993008</v>
      </c>
      <c r="G17" s="12">
        <f t="shared" si="4"/>
        <v>1.1936329432043105E-2</v>
      </c>
      <c r="I17" s="37"/>
      <c r="J17" s="38"/>
      <c r="K17" s="38"/>
      <c r="L17" s="38"/>
      <c r="M17" s="39"/>
      <c r="O17" s="7"/>
    </row>
    <row r="18" spans="1:15" x14ac:dyDescent="0.35">
      <c r="A18" s="11">
        <v>18142</v>
      </c>
      <c r="B18" s="6">
        <v>136</v>
      </c>
      <c r="C18" s="12">
        <f t="shared" si="2"/>
        <v>148.00046455684958</v>
      </c>
      <c r="D18" s="12">
        <f t="shared" si="3"/>
        <v>1.0010961661064552</v>
      </c>
      <c r="F18" s="12">
        <f t="shared" si="1"/>
        <v>148.16269764983642</v>
      </c>
      <c r="G18" s="12">
        <f t="shared" si="4"/>
        <v>147.9312141213363</v>
      </c>
      <c r="I18" s="37"/>
      <c r="J18" s="38"/>
      <c r="K18" s="38"/>
      <c r="L18" s="38"/>
      <c r="M18" s="39"/>
      <c r="O18" s="7"/>
    </row>
    <row r="19" spans="1:15" x14ac:dyDescent="0.35">
      <c r="A19" s="11">
        <v>18172</v>
      </c>
      <c r="B19" s="6">
        <v>119</v>
      </c>
      <c r="C19" s="12">
        <f t="shared" si="2"/>
        <v>136.05171700667688</v>
      </c>
      <c r="D19" s="12">
        <f t="shared" si="3"/>
        <v>0.99797113375492519</v>
      </c>
      <c r="F19" s="12">
        <f t="shared" si="1"/>
        <v>135.77568627045756</v>
      </c>
      <c r="G19" s="12">
        <f t="shared" si="4"/>
        <v>281.4236498448181</v>
      </c>
      <c r="I19" s="37"/>
      <c r="J19" s="38"/>
      <c r="K19" s="38"/>
      <c r="L19" s="38"/>
      <c r="M19" s="39"/>
      <c r="O19" s="7"/>
    </row>
    <row r="20" spans="1:15" x14ac:dyDescent="0.35">
      <c r="A20" s="11">
        <v>18203</v>
      </c>
      <c r="B20" s="6">
        <v>104</v>
      </c>
      <c r="C20" s="12">
        <f t="shared" si="2"/>
        <v>119.07133189559062</v>
      </c>
      <c r="D20" s="12">
        <f t="shared" si="3"/>
        <v>0.9932823095103146</v>
      </c>
      <c r="F20" s="12">
        <f t="shared" si="1"/>
        <v>118.27144754172143</v>
      </c>
      <c r="G20" s="12">
        <f t="shared" si="4"/>
        <v>203.67421493610661</v>
      </c>
      <c r="I20" s="37"/>
      <c r="J20" s="38"/>
      <c r="K20" s="38"/>
      <c r="L20" s="38"/>
      <c r="M20" s="39"/>
      <c r="O20" s="7"/>
    </row>
    <row r="21" spans="1:15" x14ac:dyDescent="0.35">
      <c r="A21" s="11">
        <v>18233</v>
      </c>
      <c r="B21" s="6">
        <v>118</v>
      </c>
      <c r="C21" s="12">
        <f t="shared" si="2"/>
        <v>104.06068362209216</v>
      </c>
      <c r="D21" s="12">
        <f t="shared" si="3"/>
        <v>0.98872458050294443</v>
      </c>
      <c r="F21" s="12">
        <f t="shared" si="1"/>
        <v>102.88735576110268</v>
      </c>
      <c r="G21" s="12">
        <f t="shared" si="4"/>
        <v>228.39201589147629</v>
      </c>
      <c r="I21" s="37"/>
      <c r="J21" s="38"/>
      <c r="K21" s="38"/>
      <c r="L21" s="38"/>
      <c r="M21" s="39"/>
    </row>
    <row r="22" spans="1:15" x14ac:dyDescent="0.35">
      <c r="A22" s="11">
        <v>18264</v>
      </c>
      <c r="B22" s="6">
        <v>115</v>
      </c>
      <c r="C22" s="12">
        <f t="shared" si="2"/>
        <v>117.93573952543179</v>
      </c>
      <c r="D22" s="12">
        <f t="shared" si="3"/>
        <v>0.99424715355909477</v>
      </c>
      <c r="F22" s="12">
        <f t="shared" si="1"/>
        <v>117.25727332604738</v>
      </c>
      <c r="G22" s="12">
        <f t="shared" si="4"/>
        <v>5.0952828684850129</v>
      </c>
      <c r="I22" s="37"/>
      <c r="J22" s="38"/>
      <c r="K22" s="38"/>
      <c r="L22" s="38"/>
      <c r="M22" s="39"/>
    </row>
    <row r="23" spans="1:15" x14ac:dyDescent="0.35">
      <c r="A23" s="11">
        <v>18295</v>
      </c>
      <c r="B23" s="6">
        <v>126</v>
      </c>
      <c r="C23" s="12">
        <f t="shared" si="2"/>
        <v>115.00959815190969</v>
      </c>
      <c r="D23" s="12">
        <f t="shared" si="3"/>
        <v>0.9935193295121133</v>
      </c>
      <c r="F23" s="12">
        <f t="shared" si="1"/>
        <v>114.2642588433429</v>
      </c>
      <c r="G23" s="12">
        <f t="shared" si="4"/>
        <v>137.72762049605529</v>
      </c>
      <c r="I23" s="37"/>
      <c r="J23" s="38"/>
      <c r="K23" s="38"/>
      <c r="L23" s="38"/>
      <c r="M23" s="39"/>
    </row>
    <row r="24" spans="1:15" ht="15" thickBot="1" x14ac:dyDescent="0.4">
      <c r="A24" s="11">
        <v>18323</v>
      </c>
      <c r="B24" s="6">
        <v>141</v>
      </c>
      <c r="C24" s="12">
        <f t="shared" si="2"/>
        <v>125.95009845502778</v>
      </c>
      <c r="D24" s="12">
        <f t="shared" si="3"/>
        <v>0.99739961894970597</v>
      </c>
      <c r="F24" s="12">
        <f t="shared" si="1"/>
        <v>125.62258020572267</v>
      </c>
      <c r="G24" s="12">
        <f t="shared" si="4"/>
        <v>236.46503952943223</v>
      </c>
      <c r="I24" s="40"/>
      <c r="J24" s="41"/>
      <c r="K24" s="41"/>
      <c r="L24" s="41"/>
      <c r="M24" s="42"/>
    </row>
    <row r="25" spans="1:15" x14ac:dyDescent="0.35">
      <c r="A25" s="11">
        <v>18354</v>
      </c>
      <c r="B25" s="6">
        <v>135</v>
      </c>
      <c r="C25" s="12">
        <f t="shared" si="2"/>
        <v>140.93461367329274</v>
      </c>
      <c r="D25" s="12">
        <f t="shared" si="3"/>
        <v>1.0020423405772863</v>
      </c>
      <c r="F25" s="12">
        <f t="shared" si="1"/>
        <v>141.22245015354187</v>
      </c>
      <c r="G25" s="12">
        <f t="shared" si="4"/>
        <v>38.718885913313251</v>
      </c>
    </row>
    <row r="26" spans="1:15" x14ac:dyDescent="0.35">
      <c r="A26" s="11">
        <v>18384</v>
      </c>
      <c r="B26" s="6">
        <v>125</v>
      </c>
      <c r="C26" s="12">
        <f t="shared" si="2"/>
        <v>135.02645848029789</v>
      </c>
      <c r="D26" s="12">
        <f t="shared" si="3"/>
        <v>1.0003634150114347</v>
      </c>
      <c r="F26" s="12">
        <f t="shared" si="1"/>
        <v>135.07552912225049</v>
      </c>
      <c r="G26" s="12">
        <f t="shared" si="4"/>
        <v>101.51628709331766</v>
      </c>
    </row>
    <row r="27" spans="1:15" x14ac:dyDescent="0.35">
      <c r="A27" s="11">
        <v>18415</v>
      </c>
      <c r="B27" s="6">
        <v>149</v>
      </c>
      <c r="C27" s="12">
        <f t="shared" si="2"/>
        <v>125.04284215738073</v>
      </c>
      <c r="D27" s="12">
        <f t="shared" si="3"/>
        <v>0.99752590977865607</v>
      </c>
      <c r="F27" s="12">
        <f t="shared" si="1"/>
        <v>124.7334748843501</v>
      </c>
      <c r="G27" s="12">
        <f t="shared" si="4"/>
        <v>588.8642411884673</v>
      </c>
    </row>
    <row r="28" spans="1:15" x14ac:dyDescent="0.35">
      <c r="A28" s="11">
        <v>18445</v>
      </c>
      <c r="B28" s="6">
        <v>170</v>
      </c>
      <c r="C28" s="12">
        <f t="shared" si="2"/>
        <v>148.89681630855574</v>
      </c>
      <c r="D28" s="12">
        <f t="shared" si="3"/>
        <v>1.0049055712588995</v>
      </c>
      <c r="F28" s="12">
        <f t="shared" si="1"/>
        <v>149.62724025118064</v>
      </c>
      <c r="G28" s="12">
        <f t="shared" si="4"/>
        <v>415.04933978311436</v>
      </c>
    </row>
    <row r="29" spans="1:15" x14ac:dyDescent="0.35">
      <c r="A29" s="11">
        <v>18476</v>
      </c>
      <c r="B29" s="6">
        <v>170</v>
      </c>
      <c r="C29" s="12">
        <f t="shared" si="2"/>
        <v>169.91337298827204</v>
      </c>
      <c r="D29" s="12">
        <f t="shared" si="3"/>
        <v>1.0101085510290737</v>
      </c>
      <c r="F29" s="12">
        <f t="shared" si="1"/>
        <v>171.63095098964604</v>
      </c>
      <c r="G29" s="12">
        <f t="shared" si="4"/>
        <v>2.6600011306273919</v>
      </c>
    </row>
    <row r="30" spans="1:15" x14ac:dyDescent="0.35">
      <c r="A30" s="11">
        <v>18507</v>
      </c>
      <c r="B30" s="6">
        <v>158</v>
      </c>
      <c r="C30" s="12">
        <f t="shared" si="2"/>
        <v>170.00693496670306</v>
      </c>
      <c r="D30" s="12">
        <f t="shared" si="3"/>
        <v>1.0097435441622837</v>
      </c>
      <c r="F30" s="12">
        <f t="shared" si="1"/>
        <v>171.66340504544561</v>
      </c>
      <c r="G30" s="12">
        <f t="shared" si="4"/>
        <v>186.68863743590867</v>
      </c>
    </row>
    <row r="31" spans="1:15" x14ac:dyDescent="0.35">
      <c r="A31" s="11">
        <v>18537</v>
      </c>
      <c r="B31" s="6">
        <v>133</v>
      </c>
      <c r="C31" s="12">
        <f t="shared" si="2"/>
        <v>158.05809816459373</v>
      </c>
      <c r="D31" s="12">
        <f t="shared" si="3"/>
        <v>1.0066873566921983</v>
      </c>
      <c r="F31" s="12">
        <f t="shared" si="1"/>
        <v>159.11508904511086</v>
      </c>
      <c r="G31" s="12">
        <f t="shared" si="4"/>
        <v>681.99787583406942</v>
      </c>
    </row>
    <row r="32" spans="1:15" x14ac:dyDescent="0.35">
      <c r="A32" s="11">
        <v>18568</v>
      </c>
      <c r="B32" s="6">
        <v>114</v>
      </c>
      <c r="C32" s="12">
        <f t="shared" si="2"/>
        <v>133.11104397012869</v>
      </c>
      <c r="D32" s="12">
        <f t="shared" si="3"/>
        <v>1.0004044234613154</v>
      </c>
      <c r="F32" s="12">
        <f t="shared" si="1"/>
        <v>133.16487719927039</v>
      </c>
      <c r="G32" s="12">
        <f t="shared" si="4"/>
        <v>367.29251806311419</v>
      </c>
    </row>
    <row r="33" spans="1:7" x14ac:dyDescent="0.35">
      <c r="A33" s="11">
        <v>18598</v>
      </c>
      <c r="B33" s="6">
        <v>140</v>
      </c>
      <c r="C33" s="12">
        <f t="shared" si="2"/>
        <v>114.08149097433902</v>
      </c>
      <c r="D33" s="12">
        <f t="shared" si="3"/>
        <v>0.99492948002456005</v>
      </c>
      <c r="F33" s="12">
        <f t="shared" si="1"/>
        <v>113.50303849552566</v>
      </c>
      <c r="G33" s="12">
        <f t="shared" si="4"/>
        <v>702.08896896959516</v>
      </c>
    </row>
    <row r="34" spans="1:7" x14ac:dyDescent="0.35">
      <c r="A34" s="11">
        <v>18629</v>
      </c>
      <c r="B34" s="6">
        <v>145</v>
      </c>
      <c r="C34" s="12">
        <f t="shared" si="2"/>
        <v>139.88733226998681</v>
      </c>
      <c r="D34" s="12">
        <f t="shared" si="3"/>
        <v>1.0037616734535497</v>
      </c>
      <c r="F34" s="12">
        <f t="shared" si="1"/>
        <v>140.4135427342747</v>
      </c>
      <c r="G34" s="12">
        <f t="shared" si="4"/>
        <v>21.0355902503244</v>
      </c>
    </row>
    <row r="35" spans="1:7" x14ac:dyDescent="0.35">
      <c r="A35" s="11">
        <v>18660</v>
      </c>
      <c r="B35" s="6">
        <v>150</v>
      </c>
      <c r="C35" s="12">
        <f t="shared" si="2"/>
        <v>144.9804979250604</v>
      </c>
      <c r="D35" s="12">
        <f t="shared" si="3"/>
        <v>1.0050084443294449</v>
      </c>
      <c r="F35" s="12">
        <f t="shared" si="1"/>
        <v>145.70662467777328</v>
      </c>
      <c r="G35" s="12">
        <f t="shared" si="4"/>
        <v>18.433071657505415</v>
      </c>
    </row>
    <row r="36" spans="1:7" x14ac:dyDescent="0.35">
      <c r="A36" s="11">
        <v>18688</v>
      </c>
      <c r="B36" s="6">
        <v>178</v>
      </c>
      <c r="C36" s="12">
        <f t="shared" si="2"/>
        <v>149.98174413879238</v>
      </c>
      <c r="D36" s="12">
        <f t="shared" si="3"/>
        <v>1.0061345443182947</v>
      </c>
      <c r="F36" s="12">
        <f t="shared" si="1"/>
        <v>150.90181379514695</v>
      </c>
      <c r="G36" s="12">
        <f t="shared" si="4"/>
        <v>734.3116955928881</v>
      </c>
    </row>
    <row r="37" spans="1:7" x14ac:dyDescent="0.35">
      <c r="A37" s="11">
        <v>18719</v>
      </c>
      <c r="B37" s="6">
        <v>163</v>
      </c>
      <c r="C37" s="12">
        <f t="shared" si="2"/>
        <v>177.88477580243836</v>
      </c>
      <c r="D37" s="12">
        <f t="shared" si="3"/>
        <v>1.0130050627404761</v>
      </c>
      <c r="F37" s="12">
        <f t="shared" si="1"/>
        <v>180.1981784723246</v>
      </c>
      <c r="G37" s="12">
        <f t="shared" si="4"/>
        <v>295.77734276592929</v>
      </c>
    </row>
    <row r="38" spans="1:7" x14ac:dyDescent="0.35">
      <c r="A38" s="11">
        <v>18749</v>
      </c>
      <c r="B38" s="6">
        <v>172</v>
      </c>
      <c r="C38" s="12">
        <f t="shared" si="2"/>
        <v>163.07312837468217</v>
      </c>
      <c r="D38" s="12">
        <f t="shared" si="3"/>
        <v>1.0093285899494306</v>
      </c>
      <c r="F38" s="12">
        <f t="shared" si="1"/>
        <v>164.59437072106044</v>
      </c>
      <c r="G38" s="12">
        <f t="shared" si="4"/>
        <v>54.843345017086826</v>
      </c>
    </row>
    <row r="39" spans="1:7" x14ac:dyDescent="0.35">
      <c r="A39" s="11">
        <v>18780</v>
      </c>
      <c r="B39" s="6">
        <v>178</v>
      </c>
      <c r="C39" s="12">
        <f t="shared" si="2"/>
        <v>171.96851052374302</v>
      </c>
      <c r="D39" s="12">
        <f t="shared" si="3"/>
        <v>1.0110554901918642</v>
      </c>
      <c r="F39" s="12">
        <f t="shared" si="1"/>
        <v>173.86970670514776</v>
      </c>
      <c r="G39" s="12">
        <f t="shared" si="4"/>
        <v>17.059322701501348</v>
      </c>
    </row>
    <row r="40" spans="1:7" x14ac:dyDescent="0.35">
      <c r="A40" s="11">
        <v>18810</v>
      </c>
      <c r="B40" s="6">
        <v>199</v>
      </c>
      <c r="C40" s="12">
        <f t="shared" si="2"/>
        <v>177.98243757988095</v>
      </c>
      <c r="D40" s="12">
        <f t="shared" si="3"/>
        <v>1.0119688032100258</v>
      </c>
      <c r="F40" s="12">
        <f t="shared" si="1"/>
        <v>180.11267435011524</v>
      </c>
      <c r="G40" s="12">
        <f t="shared" si="4"/>
        <v>356.73107020479472</v>
      </c>
    </row>
    <row r="41" spans="1:7" x14ac:dyDescent="0.35">
      <c r="A41" s="11">
        <v>18841</v>
      </c>
      <c r="B41" s="6">
        <v>199</v>
      </c>
      <c r="C41" s="12">
        <f t="shared" si="2"/>
        <v>198.91968920260413</v>
      </c>
      <c r="D41" s="12">
        <f t="shared" si="3"/>
        <v>1.016004151303735</v>
      </c>
      <c r="F41" s="12">
        <f t="shared" si="1"/>
        <v>202.10323000589455</v>
      </c>
      <c r="G41" s="12">
        <f t="shared" si="4"/>
        <v>9.63003646948426</v>
      </c>
    </row>
    <row r="42" spans="1:7" x14ac:dyDescent="0.35">
      <c r="A42" s="11">
        <v>18872</v>
      </c>
      <c r="B42" s="6">
        <v>184</v>
      </c>
      <c r="C42" s="12">
        <f t="shared" si="2"/>
        <v>199.01319524430806</v>
      </c>
      <c r="D42" s="12">
        <f t="shared" si="3"/>
        <v>1.015410920246602</v>
      </c>
      <c r="F42" s="12">
        <f t="shared" si="1"/>
        <v>202.08017172423953</v>
      </c>
      <c r="G42" s="12">
        <f t="shared" si="4"/>
        <v>326.89260957799075</v>
      </c>
    </row>
    <row r="43" spans="1:7" x14ac:dyDescent="0.35">
      <c r="A43" s="11">
        <v>18902</v>
      </c>
      <c r="B43" s="6">
        <v>162</v>
      </c>
      <c r="C43" s="12">
        <f t="shared" si="2"/>
        <v>184.07687869818864</v>
      </c>
      <c r="D43" s="12">
        <f t="shared" si="3"/>
        <v>1.0119562359653518</v>
      </c>
      <c r="F43" s="12">
        <f t="shared" si="1"/>
        <v>186.2777452956696</v>
      </c>
      <c r="G43" s="12">
        <f t="shared" si="4"/>
        <v>589.40891664140759</v>
      </c>
    </row>
    <row r="44" spans="1:7" x14ac:dyDescent="0.35">
      <c r="A44" s="11">
        <v>18933</v>
      </c>
      <c r="B44" s="6">
        <v>146</v>
      </c>
      <c r="C44" s="12">
        <f t="shared" si="2"/>
        <v>162.10323140077173</v>
      </c>
      <c r="D44" s="12">
        <f t="shared" si="3"/>
        <v>1.0069409373702145</v>
      </c>
      <c r="F44" s="12">
        <f t="shared" si="1"/>
        <v>163.22837977743387</v>
      </c>
      <c r="G44" s="12">
        <f t="shared" si="4"/>
        <v>296.81706975549241</v>
      </c>
    </row>
    <row r="45" spans="1:7" x14ac:dyDescent="0.35">
      <c r="A45" s="11">
        <v>18963</v>
      </c>
      <c r="B45" s="6">
        <v>166</v>
      </c>
      <c r="C45" s="12">
        <f t="shared" si="2"/>
        <v>146.07325679365161</v>
      </c>
      <c r="D45" s="12">
        <f t="shared" si="3"/>
        <v>1.0028994572222467</v>
      </c>
      <c r="F45" s="12">
        <f t="shared" si="1"/>
        <v>146.49678995303907</v>
      </c>
      <c r="G45" s="12">
        <f t="shared" si="4"/>
        <v>380.37520213587777</v>
      </c>
    </row>
    <row r="46" spans="1:7" x14ac:dyDescent="0.35">
      <c r="A46" s="11">
        <v>18994</v>
      </c>
      <c r="B46" s="6">
        <v>171</v>
      </c>
      <c r="C46" s="12">
        <f t="shared" si="2"/>
        <v>165.91707040055931</v>
      </c>
      <c r="D46" s="12">
        <f t="shared" si="3"/>
        <v>1.0079766431924206</v>
      </c>
      <c r="F46" s="12">
        <f t="shared" si="1"/>
        <v>167.24053167067632</v>
      </c>
      <c r="G46" s="12">
        <f t="shared" si="4"/>
        <v>14.133602119187792</v>
      </c>
    </row>
    <row r="47" spans="1:7" x14ac:dyDescent="0.35">
      <c r="A47" s="11">
        <v>19025</v>
      </c>
      <c r="B47" s="6">
        <v>180</v>
      </c>
      <c r="C47" s="12">
        <f t="shared" si="2"/>
        <v>170.98401436471687</v>
      </c>
      <c r="D47" s="12">
        <f t="shared" si="3"/>
        <v>1.0088382776237517</v>
      </c>
      <c r="F47" s="12">
        <f t="shared" si="1"/>
        <v>172.49521855289578</v>
      </c>
      <c r="G47" s="12">
        <f t="shared" si="4"/>
        <v>56.321744568799737</v>
      </c>
    </row>
    <row r="48" spans="1:7" x14ac:dyDescent="0.35">
      <c r="A48" s="11">
        <v>19054</v>
      </c>
      <c r="B48" s="6">
        <v>193</v>
      </c>
      <c r="C48" s="12">
        <f t="shared" si="2"/>
        <v>179.96808891880877</v>
      </c>
      <c r="D48" s="12">
        <f t="shared" si="3"/>
        <v>1.0105073309996719</v>
      </c>
      <c r="F48" s="12">
        <f t="shared" si="1"/>
        <v>181.85907319845708</v>
      </c>
      <c r="G48" s="12">
        <f t="shared" si="4"/>
        <v>124.12024999733731</v>
      </c>
    </row>
    <row r="49" spans="1:7" x14ac:dyDescent="0.35">
      <c r="A49" s="11">
        <v>19085</v>
      </c>
      <c r="B49" s="6">
        <v>181</v>
      </c>
      <c r="C49" s="12">
        <f t="shared" si="2"/>
        <v>192.95262766514716</v>
      </c>
      <c r="D49" s="12">
        <f t="shared" si="3"/>
        <v>1.0128613691742927</v>
      </c>
      <c r="F49" s="12">
        <f t="shared" si="1"/>
        <v>195.43426264269846</v>
      </c>
      <c r="G49" s="12">
        <f t="shared" si="4"/>
        <v>208.34793803840023</v>
      </c>
    </row>
    <row r="50" spans="1:7" x14ac:dyDescent="0.35">
      <c r="A50" s="11">
        <v>19115</v>
      </c>
      <c r="B50" s="6">
        <v>183</v>
      </c>
      <c r="C50" s="12">
        <f t="shared" si="2"/>
        <v>181.06137592818303</v>
      </c>
      <c r="D50" s="12">
        <f t="shared" si="3"/>
        <v>1.0100167011467955</v>
      </c>
      <c r="F50" s="12">
        <f t="shared" si="1"/>
        <v>182.87501362008322</v>
      </c>
      <c r="G50" s="12">
        <f t="shared" si="4"/>
        <v>1.5621595164700909E-2</v>
      </c>
    </row>
    <row r="51" spans="1:7" x14ac:dyDescent="0.35">
      <c r="A51" s="11">
        <v>19146</v>
      </c>
      <c r="B51" s="6">
        <v>218</v>
      </c>
      <c r="C51" s="12">
        <f t="shared" si="2"/>
        <v>182.99946854541395</v>
      </c>
      <c r="D51" s="12">
        <f t="shared" si="3"/>
        <v>1.0100429508597399</v>
      </c>
      <c r="F51" s="12">
        <f t="shared" si="1"/>
        <v>184.83732321537406</v>
      </c>
      <c r="G51" s="12">
        <f t="shared" si="4"/>
        <v>1099.7631315215685</v>
      </c>
    </row>
    <row r="52" spans="1:7" x14ac:dyDescent="0.35">
      <c r="A52" s="11">
        <v>19176</v>
      </c>
      <c r="B52" s="6">
        <v>230</v>
      </c>
      <c r="C52" s="12">
        <f t="shared" si="2"/>
        <v>217.85898898204408</v>
      </c>
      <c r="D52" s="12">
        <f t="shared" si="3"/>
        <v>1.0169340331343881</v>
      </c>
      <c r="F52" s="12">
        <f t="shared" si="1"/>
        <v>221.54822032009031</v>
      </c>
      <c r="G52" s="12">
        <f t="shared" si="4"/>
        <v>71.432579757734359</v>
      </c>
    </row>
    <row r="53" spans="1:7" x14ac:dyDescent="0.35">
      <c r="A53" s="11">
        <v>19207</v>
      </c>
      <c r="B53" s="6">
        <v>242</v>
      </c>
      <c r="C53" s="12">
        <f t="shared" si="2"/>
        <v>229.96406218762306</v>
      </c>
      <c r="D53" s="12">
        <f t="shared" si="3"/>
        <v>1.0184092652860699</v>
      </c>
      <c r="F53" s="12">
        <f t="shared" si="1"/>
        <v>234.19753161469728</v>
      </c>
      <c r="G53" s="12">
        <f t="shared" si="4"/>
        <v>60.878512903648385</v>
      </c>
    </row>
    <row r="54" spans="1:7" x14ac:dyDescent="0.35">
      <c r="A54" s="11">
        <v>19238</v>
      </c>
      <c r="B54" s="6">
        <v>209</v>
      </c>
      <c r="C54" s="12">
        <f t="shared" si="2"/>
        <v>241.96682312417886</v>
      </c>
      <c r="D54" s="12">
        <f t="shared" si="3"/>
        <v>1.0196994732891513</v>
      </c>
      <c r="F54" s="12">
        <f t="shared" si="1"/>
        <v>246.73344209317443</v>
      </c>
      <c r="G54" s="12">
        <f t="shared" si="4"/>
        <v>1423.8126521989479</v>
      </c>
    </row>
    <row r="55" spans="1:7" x14ac:dyDescent="0.35">
      <c r="A55" s="11">
        <v>19268</v>
      </c>
      <c r="B55" s="6">
        <v>191</v>
      </c>
      <c r="C55" s="12">
        <f t="shared" si="2"/>
        <v>209.16044636912437</v>
      </c>
      <c r="D55" s="12">
        <f t="shared" si="3"/>
        <v>1.0137694242221791</v>
      </c>
      <c r="F55" s="12">
        <f t="shared" si="1"/>
        <v>212.04046528568119</v>
      </c>
      <c r="G55" s="12">
        <f t="shared" si="4"/>
        <v>442.70117943795537</v>
      </c>
    </row>
    <row r="56" spans="1:7" x14ac:dyDescent="0.35">
      <c r="A56" s="11">
        <v>19299</v>
      </c>
      <c r="B56" s="6">
        <v>172</v>
      </c>
      <c r="C56" s="12">
        <f t="shared" si="2"/>
        <v>191.08946616244125</v>
      </c>
      <c r="D56" s="12">
        <f t="shared" si="3"/>
        <v>1.0099441421508959</v>
      </c>
      <c r="F56" s="12">
        <f t="shared" si="1"/>
        <v>192.98968697749939</v>
      </c>
      <c r="G56" s="12">
        <f t="shared" si="4"/>
        <v>440.5669594134074</v>
      </c>
    </row>
    <row r="57" spans="1:7" x14ac:dyDescent="0.35">
      <c r="A57" s="11">
        <v>19329</v>
      </c>
      <c r="B57" s="6">
        <v>194</v>
      </c>
      <c r="C57" s="12">
        <f t="shared" si="2"/>
        <v>172.089250247997</v>
      </c>
      <c r="D57" s="12">
        <f t="shared" si="3"/>
        <v>1.0057672150062857</v>
      </c>
      <c r="F57" s="12">
        <f t="shared" si="1"/>
        <v>173.08172595444771</v>
      </c>
      <c r="G57" s="12">
        <f t="shared" si="4"/>
        <v>437.57418904482677</v>
      </c>
    </row>
    <row r="58" spans="1:7" x14ac:dyDescent="0.35">
      <c r="A58" s="11">
        <v>19360</v>
      </c>
      <c r="B58" s="6">
        <v>196</v>
      </c>
      <c r="C58" s="12">
        <f t="shared" si="2"/>
        <v>193.9110534069309</v>
      </c>
      <c r="D58" s="12">
        <f t="shared" si="3"/>
        <v>1.0103895326986261</v>
      </c>
      <c r="F58" s="12">
        <f t="shared" si="1"/>
        <v>195.92569863692725</v>
      </c>
      <c r="G58" s="12">
        <f t="shared" si="4"/>
        <v>5.5206925544684579E-3</v>
      </c>
    </row>
    <row r="59" spans="1:7" x14ac:dyDescent="0.35">
      <c r="A59" s="11">
        <v>19391</v>
      </c>
      <c r="B59" s="6">
        <v>196</v>
      </c>
      <c r="C59" s="12">
        <f t="shared" si="2"/>
        <v>195.99968406317407</v>
      </c>
      <c r="D59" s="12">
        <f t="shared" si="3"/>
        <v>1.0104041034484275</v>
      </c>
      <c r="F59" s="12">
        <f t="shared" si="1"/>
        <v>198.03888505202644</v>
      </c>
      <c r="G59" s="12">
        <f t="shared" si="4"/>
        <v>4.1570522553768754</v>
      </c>
    </row>
    <row r="60" spans="1:7" x14ac:dyDescent="0.35">
      <c r="A60" s="11">
        <v>19419</v>
      </c>
      <c r="B60" s="6">
        <v>236</v>
      </c>
      <c r="C60" s="12">
        <f t="shared" si="2"/>
        <v>196.00866954312971</v>
      </c>
      <c r="D60" s="12">
        <f t="shared" si="3"/>
        <v>1.010008531892076</v>
      </c>
      <c r="F60" s="12">
        <f t="shared" si="1"/>
        <v>197.97042856337549</v>
      </c>
      <c r="G60" s="12">
        <f t="shared" si="4"/>
        <v>1446.2483036533267</v>
      </c>
    </row>
    <row r="61" spans="1:7" x14ac:dyDescent="0.35">
      <c r="A61" s="11">
        <v>19450</v>
      </c>
      <c r="B61" s="6">
        <v>235</v>
      </c>
      <c r="C61" s="12">
        <f t="shared" si="2"/>
        <v>235.8382944592943</v>
      </c>
      <c r="D61" s="12">
        <f t="shared" si="3"/>
        <v>1.0173864500937044</v>
      </c>
      <c r="F61" s="12">
        <f t="shared" si="1"/>
        <v>239.93868519609521</v>
      </c>
      <c r="G61" s="12">
        <f t="shared" si="4"/>
        <v>24.390611466129954</v>
      </c>
    </row>
    <row r="62" spans="1:7" x14ac:dyDescent="0.35">
      <c r="A62" s="11">
        <v>19480</v>
      </c>
      <c r="B62" s="6">
        <v>229</v>
      </c>
      <c r="C62" s="12">
        <f t="shared" si="2"/>
        <v>235.02099978332231</v>
      </c>
      <c r="D62" s="12">
        <f t="shared" si="3"/>
        <v>1.01659013544659</v>
      </c>
      <c r="F62" s="12">
        <f t="shared" si="1"/>
        <v>238.92003000252063</v>
      </c>
      <c r="G62" s="12">
        <f t="shared" si="4"/>
        <v>98.406995250909517</v>
      </c>
    </row>
    <row r="63" spans="1:7" x14ac:dyDescent="0.35">
      <c r="A63" s="11">
        <v>19511</v>
      </c>
      <c r="B63" s="6">
        <v>243</v>
      </c>
      <c r="C63" s="12">
        <f t="shared" si="2"/>
        <v>229.04218095957373</v>
      </c>
      <c r="D63" s="12">
        <f t="shared" si="3"/>
        <v>1.0149850653573262</v>
      </c>
      <c r="F63" s="12">
        <f t="shared" si="1"/>
        <v>232.47439301083747</v>
      </c>
      <c r="G63" s="12">
        <f t="shared" si="4"/>
        <v>110.78840249030701</v>
      </c>
    </row>
    <row r="64" spans="1:7" x14ac:dyDescent="0.35">
      <c r="A64" s="11">
        <v>19541</v>
      </c>
      <c r="B64" s="6">
        <v>264</v>
      </c>
      <c r="C64" s="12">
        <f t="shared" si="2"/>
        <v>242.95524406652137</v>
      </c>
      <c r="D64" s="12">
        <f t="shared" si="3"/>
        <v>1.0167325741318614</v>
      </c>
      <c r="F64" s="12">
        <f t="shared" si="1"/>
        <v>247.02051069858891</v>
      </c>
      <c r="G64" s="12">
        <f t="shared" si="4"/>
        <v>288.30305693673375</v>
      </c>
    </row>
    <row r="65" spans="1:7" x14ac:dyDescent="0.35">
      <c r="A65" s="11">
        <v>19572</v>
      </c>
      <c r="B65" s="6">
        <v>272</v>
      </c>
      <c r="C65" s="12">
        <f t="shared" si="2"/>
        <v>263.92780151354145</v>
      </c>
      <c r="D65" s="12">
        <f t="shared" si="3"/>
        <v>1.0193901522031352</v>
      </c>
      <c r="F65" s="12">
        <f t="shared" si="1"/>
        <v>269.04540175552791</v>
      </c>
      <c r="G65" s="12">
        <f t="shared" si="4"/>
        <v>8.7296507862375847</v>
      </c>
    </row>
    <row r="66" spans="1:7" x14ac:dyDescent="0.35">
      <c r="A66" s="11">
        <v>19603</v>
      </c>
      <c r="B66" s="6">
        <v>237</v>
      </c>
      <c r="C66" s="12">
        <f t="shared" si="2"/>
        <v>271.98743675280468</v>
      </c>
      <c r="D66" s="12">
        <f t="shared" si="3"/>
        <v>1.0198158495865359</v>
      </c>
      <c r="F66" s="12">
        <f t="shared" si="1"/>
        <v>277.37709888892573</v>
      </c>
      <c r="G66" s="12">
        <f t="shared" si="4"/>
        <v>1630.3101146860874</v>
      </c>
    </row>
    <row r="67" spans="1:7" x14ac:dyDescent="0.35">
      <c r="A67" s="11">
        <v>19633</v>
      </c>
      <c r="B67" s="6">
        <v>211</v>
      </c>
      <c r="C67" s="12">
        <f t="shared" si="2"/>
        <v>237.17168746218562</v>
      </c>
      <c r="D67" s="12">
        <f t="shared" si="3"/>
        <v>1.0141707195198437</v>
      </c>
      <c r="F67" s="12">
        <f t="shared" si="1"/>
        <v>240.5325809232603</v>
      </c>
      <c r="G67" s="12">
        <f t="shared" si="4"/>
        <v>872.1733359889181</v>
      </c>
    </row>
    <row r="68" spans="1:7" x14ac:dyDescent="0.35">
      <c r="A68" s="11">
        <v>19664</v>
      </c>
      <c r="B68" s="6">
        <v>180</v>
      </c>
      <c r="C68" s="12">
        <f t="shared" si="2"/>
        <v>211.12557548734378</v>
      </c>
      <c r="D68" s="12">
        <f t="shared" si="3"/>
        <v>1.0094356512551239</v>
      </c>
      <c r="F68" s="12">
        <f t="shared" si="1"/>
        <v>213.1176827886797</v>
      </c>
      <c r="G68" s="12">
        <f t="shared" si="4"/>
        <v>1096.7809132916118</v>
      </c>
    </row>
    <row r="69" spans="1:7" x14ac:dyDescent="0.35">
      <c r="A69" s="11">
        <v>19694</v>
      </c>
      <c r="B69" s="6">
        <v>201</v>
      </c>
      <c r="C69" s="12">
        <f t="shared" si="2"/>
        <v>180.14081969898575</v>
      </c>
      <c r="D69" s="12">
        <f t="shared" si="3"/>
        <v>1.003470701619698</v>
      </c>
      <c r="F69" s="12">
        <f t="shared" si="1"/>
        <v>180.76603473368874</v>
      </c>
      <c r="G69" s="12">
        <f t="shared" si="4"/>
        <v>409.41335039829045</v>
      </c>
    </row>
    <row r="70" spans="1:7" x14ac:dyDescent="0.35">
      <c r="A70" s="11">
        <v>19725</v>
      </c>
      <c r="B70" s="6">
        <v>204</v>
      </c>
      <c r="C70" s="12">
        <f t="shared" si="2"/>
        <v>200.91396315629112</v>
      </c>
      <c r="D70" s="12">
        <f t="shared" si="3"/>
        <v>1.0077419669543204</v>
      </c>
      <c r="F70" s="12">
        <f t="shared" si="1"/>
        <v>202.46943241970868</v>
      </c>
      <c r="G70" s="12">
        <f t="shared" si="4"/>
        <v>2.3426371178388221</v>
      </c>
    </row>
    <row r="71" spans="1:7" x14ac:dyDescent="0.35">
      <c r="A71" s="11">
        <v>19756</v>
      </c>
      <c r="B71" s="6">
        <v>188</v>
      </c>
      <c r="C71" s="12">
        <f t="shared" si="2"/>
        <v>203.99349187359184</v>
      </c>
      <c r="D71" s="12">
        <f t="shared" si="3"/>
        <v>1.0080316546672599</v>
      </c>
      <c r="F71" s="12">
        <f t="shared" si="1"/>
        <v>205.631897154689</v>
      </c>
      <c r="G71" s="12">
        <f t="shared" si="4"/>
        <v>310.88379727353004</v>
      </c>
    </row>
    <row r="72" spans="1:7" x14ac:dyDescent="0.35">
      <c r="A72" s="11">
        <v>19784</v>
      </c>
      <c r="B72" s="6">
        <v>235</v>
      </c>
      <c r="C72" s="12">
        <f t="shared" si="2"/>
        <v>188.07497258989147</v>
      </c>
      <c r="D72" s="12">
        <f t="shared" si="3"/>
        <v>1.0047448763193481</v>
      </c>
      <c r="F72" s="12">
        <f t="shared" si="1"/>
        <v>188.96736507359529</v>
      </c>
      <c r="G72" s="12">
        <f t="shared" si="4"/>
        <v>2119.0034782676548</v>
      </c>
    </row>
    <row r="73" spans="1:7" x14ac:dyDescent="0.35">
      <c r="A73" s="11">
        <v>19815</v>
      </c>
      <c r="B73" s="6">
        <v>227</v>
      </c>
      <c r="C73" s="12">
        <f t="shared" si="2"/>
        <v>234.80426463302942</v>
      </c>
      <c r="D73" s="12">
        <f t="shared" si="3"/>
        <v>1.0140521506109266</v>
      </c>
      <c r="F73" s="12">
        <f t="shared" si="1"/>
        <v>238.1037695237406</v>
      </c>
      <c r="G73" s="12">
        <f t="shared" si="4"/>
        <v>123.29369763635046</v>
      </c>
    </row>
    <row r="74" spans="1:7" x14ac:dyDescent="0.35">
      <c r="A74" s="11">
        <v>19845</v>
      </c>
      <c r="B74" s="6">
        <v>234</v>
      </c>
      <c r="C74" s="12">
        <f t="shared" si="2"/>
        <v>227.04721433839191</v>
      </c>
      <c r="D74" s="12">
        <f t="shared" si="3"/>
        <v>1.0122538920203801</v>
      </c>
      <c r="F74" s="12">
        <f t="shared" si="1"/>
        <v>229.82942638642265</v>
      </c>
      <c r="G74" s="12">
        <f t="shared" si="4"/>
        <v>17.393684266267606</v>
      </c>
    </row>
    <row r="75" spans="1:7" x14ac:dyDescent="0.35">
      <c r="A75" s="11">
        <v>19876</v>
      </c>
      <c r="B75" s="6">
        <v>264</v>
      </c>
      <c r="C75" s="12">
        <f t="shared" si="2"/>
        <v>233.98226630393771</v>
      </c>
      <c r="D75" s="12">
        <f t="shared" si="3"/>
        <v>1.012952393449134</v>
      </c>
      <c r="F75" s="12">
        <f t="shared" ref="F75:F117" si="5">C75*D75</f>
        <v>237.01289667722637</v>
      </c>
      <c r="G75" s="12">
        <f t="shared" si="4"/>
        <v>728.30374575405972</v>
      </c>
    </row>
    <row r="76" spans="1:7" x14ac:dyDescent="0.35">
      <c r="A76" s="11">
        <v>19906</v>
      </c>
      <c r="B76" s="6">
        <v>302</v>
      </c>
      <c r="C76" s="12">
        <f t="shared" ref="C76:C117" si="6">B75*$E$2+(C75*D75)*(1-$E$2)</f>
        <v>263.88524813796124</v>
      </c>
      <c r="D76" s="12">
        <f t="shared" ref="D76:D117" si="7">(C76/C75)*$E$3+D75*(1-$E$3)</f>
        <v>1.0173383165626446</v>
      </c>
      <c r="F76" s="12">
        <f t="shared" si="5"/>
        <v>268.46057410638923</v>
      </c>
      <c r="G76" s="12">
        <f t="shared" ref="G76:G117" si="8">(F76-B76)^2</f>
        <v>1124.8930892730086</v>
      </c>
    </row>
    <row r="77" spans="1:7" x14ac:dyDescent="0.35">
      <c r="A77" s="11">
        <v>19937</v>
      </c>
      <c r="B77" s="6">
        <v>293</v>
      </c>
      <c r="C77" s="12">
        <f t="shared" si="6"/>
        <v>301.8573870071578</v>
      </c>
      <c r="D77" s="12">
        <f t="shared" si="7"/>
        <v>1.0221714434496794</v>
      </c>
      <c r="F77" s="12">
        <f t="shared" si="5"/>
        <v>308.55000099305499</v>
      </c>
      <c r="G77" s="12">
        <f t="shared" si="8"/>
        <v>241.80253088401128</v>
      </c>
    </row>
    <row r="78" spans="1:7" x14ac:dyDescent="0.35">
      <c r="A78" s="11">
        <v>19968</v>
      </c>
      <c r="B78" s="6">
        <v>259</v>
      </c>
      <c r="C78" s="12">
        <f t="shared" si="6"/>
        <v>293.06612015922258</v>
      </c>
      <c r="D78" s="12">
        <f t="shared" si="7"/>
        <v>1.0202125252630947</v>
      </c>
      <c r="F78" s="12">
        <f t="shared" si="5"/>
        <v>298.989726516698</v>
      </c>
      <c r="G78" s="12">
        <f t="shared" si="8"/>
        <v>1599.178226880299</v>
      </c>
    </row>
    <row r="79" spans="1:7" x14ac:dyDescent="0.35">
      <c r="A79" s="11">
        <v>19998</v>
      </c>
      <c r="B79" s="6">
        <v>229</v>
      </c>
      <c r="C79" s="12">
        <f t="shared" si="6"/>
        <v>259.17004031612169</v>
      </c>
      <c r="D79" s="12">
        <f t="shared" si="7"/>
        <v>1.0150236825695496</v>
      </c>
      <c r="F79" s="12">
        <f t="shared" si="5"/>
        <v>263.06372873336846</v>
      </c>
      <c r="G79" s="12">
        <f t="shared" si="8"/>
        <v>1160.3376152205124</v>
      </c>
    </row>
    <row r="80" spans="1:7" x14ac:dyDescent="0.35">
      <c r="A80" s="11">
        <v>20029</v>
      </c>
      <c r="B80" s="6">
        <v>203</v>
      </c>
      <c r="C80" s="12">
        <f t="shared" si="6"/>
        <v>229.14484238094715</v>
      </c>
      <c r="D80" s="12">
        <f t="shared" si="7"/>
        <v>1.0100256961150478</v>
      </c>
      <c r="F80" s="12">
        <f t="shared" si="5"/>
        <v>231.44217893698905</v>
      </c>
      <c r="G80" s="12">
        <f t="shared" si="8"/>
        <v>808.95754268370365</v>
      </c>
    </row>
    <row r="81" spans="1:7" x14ac:dyDescent="0.35">
      <c r="A81" s="11">
        <v>20059</v>
      </c>
      <c r="B81" s="6">
        <v>229</v>
      </c>
      <c r="C81" s="12">
        <f t="shared" si="6"/>
        <v>203.12093898905798</v>
      </c>
      <c r="D81" s="12">
        <f t="shared" si="7"/>
        <v>1.0053057128017273</v>
      </c>
      <c r="F81" s="12">
        <f t="shared" si="5"/>
        <v>204.1986403553511</v>
      </c>
      <c r="G81" s="12">
        <f t="shared" si="8"/>
        <v>615.10744022321887</v>
      </c>
    </row>
    <row r="82" spans="1:7" x14ac:dyDescent="0.35">
      <c r="A82" s="11">
        <v>20090</v>
      </c>
      <c r="B82" s="6">
        <v>242</v>
      </c>
      <c r="C82" s="12">
        <f t="shared" si="6"/>
        <v>228.894542138655</v>
      </c>
      <c r="D82" s="12">
        <f t="shared" si="7"/>
        <v>1.0099488175347819</v>
      </c>
      <c r="F82" s="12">
        <f t="shared" si="5"/>
        <v>231.17177217309992</v>
      </c>
      <c r="G82" s="12">
        <f t="shared" si="8"/>
        <v>117.25051787125314</v>
      </c>
    </row>
    <row r="83" spans="1:7" x14ac:dyDescent="0.35">
      <c r="A83" s="11">
        <v>20121</v>
      </c>
      <c r="B83" s="6">
        <v>233</v>
      </c>
      <c r="C83" s="12">
        <f t="shared" si="6"/>
        <v>241.95395729245723</v>
      </c>
      <c r="D83" s="12">
        <f t="shared" si="7"/>
        <v>1.0117477283505485</v>
      </c>
      <c r="F83" s="12">
        <f t="shared" si="5"/>
        <v>244.79636665606924</v>
      </c>
      <c r="G83" s="12">
        <f t="shared" si="8"/>
        <v>139.15426628442216</v>
      </c>
    </row>
    <row r="84" spans="1:7" x14ac:dyDescent="0.35">
      <c r="A84" s="11">
        <v>20149</v>
      </c>
      <c r="B84" s="6">
        <v>267</v>
      </c>
      <c r="C84" s="12">
        <f t="shared" si="6"/>
        <v>233.05015933065826</v>
      </c>
      <c r="D84" s="12">
        <f t="shared" si="7"/>
        <v>1.0098937561462091</v>
      </c>
      <c r="F84" s="12">
        <f t="shared" si="5"/>
        <v>235.35590077691097</v>
      </c>
      <c r="G84" s="12">
        <f t="shared" si="8"/>
        <v>1001.3490156407037</v>
      </c>
    </row>
    <row r="85" spans="1:7" x14ac:dyDescent="0.35">
      <c r="A85" s="11">
        <v>20180</v>
      </c>
      <c r="B85" s="6">
        <v>269</v>
      </c>
      <c r="C85" s="12">
        <f t="shared" si="6"/>
        <v>266.8654461256935</v>
      </c>
      <c r="D85" s="12">
        <f t="shared" si="7"/>
        <v>1.0150570996546653</v>
      </c>
      <c r="F85" s="12">
        <f t="shared" si="5"/>
        <v>270.88366574239478</v>
      </c>
      <c r="G85" s="12">
        <f t="shared" si="8"/>
        <v>3.548196629071688</v>
      </c>
    </row>
    <row r="86" spans="1:7" x14ac:dyDescent="0.35">
      <c r="A86" s="11">
        <v>20210</v>
      </c>
      <c r="B86" s="6">
        <v>270</v>
      </c>
      <c r="C86" s="12">
        <f t="shared" si="6"/>
        <v>269.00800953510321</v>
      </c>
      <c r="D86" s="12">
        <f t="shared" si="7"/>
        <v>1.014788689352994</v>
      </c>
      <c r="F86" s="12">
        <f t="shared" si="5"/>
        <v>272.98628542158514</v>
      </c>
      <c r="G86" s="12">
        <f t="shared" si="8"/>
        <v>8.9179006191719203</v>
      </c>
    </row>
    <row r="87" spans="1:7" x14ac:dyDescent="0.35">
      <c r="A87" s="11">
        <v>20241</v>
      </c>
      <c r="B87" s="6">
        <v>315</v>
      </c>
      <c r="C87" s="12">
        <f t="shared" si="6"/>
        <v>270.01269798424113</v>
      </c>
      <c r="D87" s="12">
        <f t="shared" si="7"/>
        <v>1.0143665519941809</v>
      </c>
      <c r="F87" s="12">
        <f t="shared" si="5"/>
        <v>273.89184944892082</v>
      </c>
      <c r="G87" s="12">
        <f t="shared" si="8"/>
        <v>1689.8800417301914</v>
      </c>
    </row>
    <row r="88" spans="1:7" x14ac:dyDescent="0.35">
      <c r="A88" s="11">
        <v>20271</v>
      </c>
      <c r="B88" s="6">
        <v>364</v>
      </c>
      <c r="C88" s="12">
        <f t="shared" si="6"/>
        <v>314.82520403304176</v>
      </c>
      <c r="D88" s="12">
        <f t="shared" si="7"/>
        <v>1.0201559237158924</v>
      </c>
      <c r="F88" s="12">
        <f t="shared" si="5"/>
        <v>321.17079682937202</v>
      </c>
      <c r="G88" s="12">
        <f t="shared" si="8"/>
        <v>1834.3406442309297</v>
      </c>
    </row>
    <row r="89" spans="1:7" x14ac:dyDescent="0.35">
      <c r="A89" s="11">
        <v>20302</v>
      </c>
      <c r="B89" s="6">
        <v>347</v>
      </c>
      <c r="C89" s="12">
        <f t="shared" si="6"/>
        <v>363.81788594519816</v>
      </c>
      <c r="D89" s="12">
        <f t="shared" si="7"/>
        <v>1.0253291108221996</v>
      </c>
      <c r="F89" s="12">
        <f t="shared" si="5"/>
        <v>373.03306949740244</v>
      </c>
      <c r="G89" s="12">
        <f t="shared" si="8"/>
        <v>677.72070745658516</v>
      </c>
    </row>
    <row r="90" spans="1:7" x14ac:dyDescent="0.35">
      <c r="A90" s="11">
        <v>20333</v>
      </c>
      <c r="B90" s="6">
        <v>312</v>
      </c>
      <c r="C90" s="12">
        <f t="shared" si="6"/>
        <v>347.11069521480988</v>
      </c>
      <c r="D90" s="12">
        <f t="shared" si="7"/>
        <v>1.0226081078431788</v>
      </c>
      <c r="F90" s="12">
        <f t="shared" si="5"/>
        <v>354.95821124574707</v>
      </c>
      <c r="G90" s="12">
        <f t="shared" si="8"/>
        <v>1845.4079134342296</v>
      </c>
    </row>
    <row r="91" spans="1:7" x14ac:dyDescent="0.35">
      <c r="A91" s="11">
        <v>20363</v>
      </c>
      <c r="B91" s="6">
        <v>274</v>
      </c>
      <c r="C91" s="12">
        <f t="shared" si="6"/>
        <v>312.18266261003805</v>
      </c>
      <c r="D91" s="12">
        <f t="shared" si="7"/>
        <v>1.0179019566085181</v>
      </c>
      <c r="F91" s="12">
        <f t="shared" si="5"/>
        <v>317.77134309001462</v>
      </c>
      <c r="G91" s="12">
        <f t="shared" si="8"/>
        <v>1915.9304759037711</v>
      </c>
    </row>
    <row r="92" spans="1:7" x14ac:dyDescent="0.35">
      <c r="A92" s="11">
        <v>20394</v>
      </c>
      <c r="B92" s="6">
        <v>237</v>
      </c>
      <c r="C92" s="12">
        <f t="shared" si="6"/>
        <v>274.18612012795307</v>
      </c>
      <c r="D92" s="12">
        <f t="shared" si="7"/>
        <v>1.0125702188823351</v>
      </c>
      <c r="F92" s="12">
        <f t="shared" si="5"/>
        <v>277.63269967245969</v>
      </c>
      <c r="G92" s="12">
        <f t="shared" si="8"/>
        <v>1651.016282672306</v>
      </c>
    </row>
    <row r="93" spans="1:7" x14ac:dyDescent="0.35">
      <c r="A93" s="11">
        <v>20424</v>
      </c>
      <c r="B93" s="6">
        <v>278</v>
      </c>
      <c r="C93" s="12">
        <f t="shared" si="6"/>
        <v>237.17277430227728</v>
      </c>
      <c r="D93" s="12">
        <f t="shared" si="7"/>
        <v>1.0069349077686987</v>
      </c>
      <c r="F93" s="12">
        <f t="shared" si="5"/>
        <v>238.81754561730995</v>
      </c>
      <c r="G93" s="12">
        <f t="shared" si="8"/>
        <v>1535.2647314515871</v>
      </c>
    </row>
    <row r="94" spans="1:7" x14ac:dyDescent="0.35">
      <c r="A94" s="11">
        <v>20455</v>
      </c>
      <c r="B94" s="6">
        <v>284</v>
      </c>
      <c r="C94" s="12">
        <f t="shared" si="6"/>
        <v>277.83339228571936</v>
      </c>
      <c r="D94" s="12">
        <f t="shared" si="7"/>
        <v>1.0132171472576246</v>
      </c>
      <c r="F94" s="12">
        <f t="shared" si="5"/>
        <v>281.50555714464508</v>
      </c>
      <c r="G94" s="12">
        <f t="shared" si="8"/>
        <v>6.2222451586311998</v>
      </c>
    </row>
    <row r="95" spans="1:7" x14ac:dyDescent="0.35">
      <c r="A95" s="11">
        <v>20486</v>
      </c>
      <c r="B95" s="6">
        <v>277</v>
      </c>
      <c r="C95" s="12">
        <f t="shared" si="6"/>
        <v>283.98939337953476</v>
      </c>
      <c r="D95" s="12">
        <f t="shared" si="7"/>
        <v>1.0135585577021857</v>
      </c>
      <c r="F95" s="12">
        <f t="shared" si="5"/>
        <v>287.83987995647988</v>
      </c>
      <c r="G95" s="12">
        <f t="shared" si="8"/>
        <v>117.50299747089417</v>
      </c>
    </row>
    <row r="96" spans="1:7" x14ac:dyDescent="0.35">
      <c r="A96" s="11">
        <v>20515</v>
      </c>
      <c r="B96" s="6">
        <v>317</v>
      </c>
      <c r="C96" s="12">
        <f t="shared" si="6"/>
        <v>277.0460922535629</v>
      </c>
      <c r="D96" s="12">
        <f t="shared" si="7"/>
        <v>1.0121070811041291</v>
      </c>
      <c r="F96" s="12">
        <f t="shared" si="5"/>
        <v>280.40031176205883</v>
      </c>
      <c r="G96" s="12">
        <f t="shared" si="8"/>
        <v>1339.5371791144889</v>
      </c>
    </row>
    <row r="97" spans="1:7" x14ac:dyDescent="0.35">
      <c r="A97" s="11">
        <v>20546</v>
      </c>
      <c r="B97" s="6">
        <v>313</v>
      </c>
      <c r="C97" s="12">
        <f t="shared" si="6"/>
        <v>316.84437446564345</v>
      </c>
      <c r="D97" s="12">
        <f t="shared" si="7"/>
        <v>1.0171306578644661</v>
      </c>
      <c r="F97" s="12">
        <f t="shared" si="5"/>
        <v>322.27212704089516</v>
      </c>
      <c r="G97" s="12">
        <f t="shared" si="8"/>
        <v>85.972339862499183</v>
      </c>
    </row>
    <row r="98" spans="1:7" x14ac:dyDescent="0.35">
      <c r="A98" s="11">
        <v>20576</v>
      </c>
      <c r="B98" s="6">
        <v>318</v>
      </c>
      <c r="C98" s="12">
        <f t="shared" si="6"/>
        <v>313.03942601139062</v>
      </c>
      <c r="D98" s="12">
        <f t="shared" si="7"/>
        <v>1.0160178477657849</v>
      </c>
      <c r="F98" s="12">
        <f t="shared" si="5"/>
        <v>318.05364388192976</v>
      </c>
      <c r="G98" s="12">
        <f t="shared" si="8"/>
        <v>2.8776660684938882E-3</v>
      </c>
    </row>
    <row r="99" spans="1:7" x14ac:dyDescent="0.35">
      <c r="A99" s="11">
        <v>20607</v>
      </c>
      <c r="B99" s="6">
        <v>374</v>
      </c>
      <c r="C99" s="12">
        <f t="shared" si="6"/>
        <v>318.00022809915032</v>
      </c>
      <c r="D99" s="12">
        <f t="shared" si="7"/>
        <v>1.0160113313491324</v>
      </c>
      <c r="F99" s="12">
        <f t="shared" si="5"/>
        <v>323.09183512034548</v>
      </c>
      <c r="G99" s="12">
        <f t="shared" si="8"/>
        <v>2591.6412514140902</v>
      </c>
    </row>
    <row r="100" spans="1:7" x14ac:dyDescent="0.35">
      <c r="A100" s="11">
        <v>20637</v>
      </c>
      <c r="B100" s="6">
        <v>413</v>
      </c>
      <c r="C100" s="12">
        <f t="shared" si="6"/>
        <v>373.78353339211526</v>
      </c>
      <c r="D100" s="12">
        <f t="shared" si="7"/>
        <v>1.0220989536029661</v>
      </c>
      <c r="F100" s="12">
        <f t="shared" si="5"/>
        <v>382.04375835410036</v>
      </c>
      <c r="G100" s="12">
        <f t="shared" si="8"/>
        <v>958.28889683933119</v>
      </c>
    </row>
    <row r="101" spans="1:7" x14ac:dyDescent="0.35">
      <c r="A101" s="11">
        <v>20668</v>
      </c>
      <c r="B101" s="6">
        <v>405</v>
      </c>
      <c r="C101" s="12">
        <f t="shared" si="6"/>
        <v>412.86837096489751</v>
      </c>
      <c r="D101" s="12">
        <f t="shared" si="7"/>
        <v>1.0252482660414004</v>
      </c>
      <c r="F101" s="12">
        <f t="shared" si="5"/>
        <v>423.29258143509884</v>
      </c>
      <c r="G101" s="12">
        <f t="shared" si="8"/>
        <v>334.61853555972272</v>
      </c>
    </row>
    <row r="102" spans="1:7" x14ac:dyDescent="0.35">
      <c r="A102" s="11">
        <v>20699</v>
      </c>
      <c r="B102" s="6">
        <v>355</v>
      </c>
      <c r="C102" s="12">
        <f t="shared" si="6"/>
        <v>405.07778188552015</v>
      </c>
      <c r="D102" s="12">
        <f t="shared" si="7"/>
        <v>1.0235634555087525</v>
      </c>
      <c r="F102" s="12">
        <f t="shared" si="5"/>
        <v>414.62281417656374</v>
      </c>
      <c r="G102" s="12">
        <f t="shared" si="8"/>
        <v>3554.8799703330496</v>
      </c>
    </row>
    <row r="103" spans="1:7" x14ac:dyDescent="0.35">
      <c r="A103" s="11">
        <v>20729</v>
      </c>
      <c r="B103" s="6">
        <v>306</v>
      </c>
      <c r="C103" s="12">
        <f t="shared" si="6"/>
        <v>355.25352216816015</v>
      </c>
      <c r="D103" s="12">
        <f t="shared" si="7"/>
        <v>1.0179663726918289</v>
      </c>
      <c r="F103" s="12">
        <f t="shared" si="5"/>
        <v>361.63613934751822</v>
      </c>
      <c r="G103" s="12">
        <f t="shared" si="8"/>
        <v>3095.3800014964654</v>
      </c>
    </row>
    <row r="104" spans="1:7" x14ac:dyDescent="0.35">
      <c r="A104" s="11">
        <v>20760</v>
      </c>
      <c r="B104" s="6">
        <v>271</v>
      </c>
      <c r="C104" s="12">
        <f t="shared" si="6"/>
        <v>306.23657042811959</v>
      </c>
      <c r="D104" s="12">
        <f t="shared" si="7"/>
        <v>1.0120110365573669</v>
      </c>
      <c r="F104" s="12">
        <f t="shared" si="5"/>
        <v>309.9147890707344</v>
      </c>
      <c r="G104" s="12">
        <f t="shared" si="8"/>
        <v>1514.3608084197494</v>
      </c>
    </row>
    <row r="105" spans="1:7" x14ac:dyDescent="0.35">
      <c r="A105" s="11">
        <v>20790</v>
      </c>
      <c r="B105" s="6">
        <v>306</v>
      </c>
      <c r="C105" s="12">
        <f t="shared" si="6"/>
        <v>271.16546957460764</v>
      </c>
      <c r="D105" s="12">
        <f t="shared" si="7"/>
        <v>1.0071788319641375</v>
      </c>
      <c r="F105" s="12">
        <f t="shared" si="5"/>
        <v>273.11212091516018</v>
      </c>
      <c r="G105" s="12">
        <f t="shared" si="8"/>
        <v>1081.6125906990446</v>
      </c>
    </row>
    <row r="106" spans="1:7" x14ac:dyDescent="0.35">
      <c r="A106" s="11">
        <v>20821</v>
      </c>
      <c r="B106" s="6">
        <v>315</v>
      </c>
      <c r="C106" s="12">
        <f t="shared" si="6"/>
        <v>305.86015744934338</v>
      </c>
      <c r="D106" s="12">
        <f t="shared" si="7"/>
        <v>1.011790830568406</v>
      </c>
      <c r="F106" s="12">
        <f t="shared" si="5"/>
        <v>309.46650274345456</v>
      </c>
      <c r="G106" s="12">
        <f t="shared" si="8"/>
        <v>30.619591888195966</v>
      </c>
    </row>
    <row r="107" spans="1:7" x14ac:dyDescent="0.35">
      <c r="A107" s="11">
        <v>20852</v>
      </c>
      <c r="B107" s="6">
        <v>301</v>
      </c>
      <c r="C107" s="12">
        <f t="shared" si="6"/>
        <v>314.97647101631543</v>
      </c>
      <c r="D107" s="12">
        <f t="shared" si="7"/>
        <v>1.0124787926100365</v>
      </c>
      <c r="F107" s="12">
        <f t="shared" si="5"/>
        <v>318.90699707516922</v>
      </c>
      <c r="G107" s="12">
        <f t="shared" si="8"/>
        <v>320.66054425011885</v>
      </c>
    </row>
    <row r="108" spans="1:7" x14ac:dyDescent="0.35">
      <c r="A108" s="11">
        <v>20880</v>
      </c>
      <c r="B108" s="6">
        <v>356</v>
      </c>
      <c r="C108" s="12">
        <f t="shared" si="6"/>
        <v>301.07614234226332</v>
      </c>
      <c r="D108" s="12">
        <f t="shared" si="7"/>
        <v>1.0103169088693311</v>
      </c>
      <c r="F108" s="12">
        <f t="shared" si="5"/>
        <v>304.18231746553823</v>
      </c>
      <c r="G108" s="12">
        <f t="shared" si="8"/>
        <v>2685.072223242264</v>
      </c>
    </row>
    <row r="109" spans="1:7" x14ac:dyDescent="0.35">
      <c r="A109" s="11">
        <v>20911</v>
      </c>
      <c r="B109" s="6">
        <v>348</v>
      </c>
      <c r="C109" s="12">
        <f t="shared" si="6"/>
        <v>355.77966603209524</v>
      </c>
      <c r="D109" s="12">
        <f t="shared" si="7"/>
        <v>1.0168616026105184</v>
      </c>
      <c r="F109" s="12">
        <f t="shared" si="5"/>
        <v>361.77868137763136</v>
      </c>
      <c r="G109" s="12">
        <f t="shared" si="8"/>
        <v>189.85206050628517</v>
      </c>
    </row>
    <row r="110" spans="1:7" x14ac:dyDescent="0.35">
      <c r="A110" s="11">
        <v>20941</v>
      </c>
      <c r="B110" s="6">
        <v>355</v>
      </c>
      <c r="C110" s="12">
        <f t="shared" si="6"/>
        <v>348.05858833108584</v>
      </c>
      <c r="D110" s="12">
        <f t="shared" si="7"/>
        <v>1.0153889028376559</v>
      </c>
      <c r="F110" s="12">
        <f t="shared" si="5"/>
        <v>353.41482812872459</v>
      </c>
      <c r="G110" s="12">
        <f t="shared" si="8"/>
        <v>2.5127698614827736</v>
      </c>
    </row>
    <row r="111" spans="1:7" x14ac:dyDescent="0.35">
      <c r="A111" s="11">
        <v>20972</v>
      </c>
      <c r="B111" s="6">
        <v>422</v>
      </c>
      <c r="C111" s="12">
        <f t="shared" si="6"/>
        <v>354.9932596906861</v>
      </c>
      <c r="D111" s="12">
        <f t="shared" si="7"/>
        <v>1.0155620884016403</v>
      </c>
      <c r="F111" s="12">
        <f t="shared" si="5"/>
        <v>360.517696179979</v>
      </c>
      <c r="G111" s="12">
        <f t="shared" si="8"/>
        <v>3780.0736830173691</v>
      </c>
    </row>
    <row r="112" spans="1:7" x14ac:dyDescent="0.35">
      <c r="A112" s="11">
        <v>21002</v>
      </c>
      <c r="B112" s="6">
        <v>465</v>
      </c>
      <c r="C112" s="12">
        <f t="shared" si="6"/>
        <v>421.73857109592689</v>
      </c>
      <c r="D112" s="12">
        <f t="shared" si="7"/>
        <v>1.0221480275098991</v>
      </c>
      <c r="F112" s="12">
        <f t="shared" si="5"/>
        <v>431.07924857054502</v>
      </c>
      <c r="G112" s="12">
        <f t="shared" si="8"/>
        <v>1150.6173775388722</v>
      </c>
    </row>
    <row r="113" spans="1:7" x14ac:dyDescent="0.35">
      <c r="A113" s="11">
        <v>21033</v>
      </c>
      <c r="B113" s="6">
        <v>467</v>
      </c>
      <c r="C113" s="12">
        <f t="shared" si="6"/>
        <v>464.85576557284685</v>
      </c>
      <c r="D113" s="12">
        <f t="shared" si="7"/>
        <v>1.0252065369662406</v>
      </c>
      <c r="F113" s="12">
        <f t="shared" si="5"/>
        <v>476.57316961172893</v>
      </c>
      <c r="G113" s="12">
        <f t="shared" si="8"/>
        <v>91.645576414930204</v>
      </c>
    </row>
    <row r="114" spans="1:7" x14ac:dyDescent="0.35">
      <c r="A114" s="11">
        <v>21064</v>
      </c>
      <c r="B114" s="6">
        <v>404</v>
      </c>
      <c r="C114" s="12">
        <f t="shared" si="6"/>
        <v>467.04070607450603</v>
      </c>
      <c r="D114" s="12">
        <f t="shared" si="7"/>
        <v>1.0244234225531614</v>
      </c>
      <c r="F114" s="12">
        <f t="shared" si="5"/>
        <v>478.44743858849057</v>
      </c>
      <c r="G114" s="12">
        <f t="shared" si="8"/>
        <v>5542.4211123870746</v>
      </c>
    </row>
    <row r="115" spans="1:7" x14ac:dyDescent="0.35">
      <c r="A115" s="11">
        <v>21094</v>
      </c>
      <c r="B115" s="6">
        <v>347</v>
      </c>
      <c r="C115" s="12">
        <f t="shared" si="6"/>
        <v>404.31655795362212</v>
      </c>
      <c r="D115" s="12">
        <f t="shared" si="7"/>
        <v>1.0183618862379236</v>
      </c>
      <c r="F115" s="12">
        <f t="shared" si="5"/>
        <v>411.74057259487535</v>
      </c>
      <c r="G115" s="12">
        <f t="shared" si="8"/>
        <v>4191.3417399123246</v>
      </c>
    </row>
    <row r="116" spans="1:7" x14ac:dyDescent="0.35">
      <c r="A116" s="11">
        <v>21125</v>
      </c>
      <c r="B116" s="6">
        <v>305</v>
      </c>
      <c r="C116" s="12">
        <f t="shared" si="6"/>
        <v>347.27528338873066</v>
      </c>
      <c r="D116" s="12">
        <f t="shared" si="7"/>
        <v>1.0122729322214128</v>
      </c>
      <c r="F116" s="12">
        <f t="shared" si="5"/>
        <v>351.53736940393247</v>
      </c>
      <c r="G116" s="12">
        <f t="shared" si="8"/>
        <v>2165.7267510380702</v>
      </c>
    </row>
    <row r="117" spans="1:7" x14ac:dyDescent="0.35">
      <c r="A117" s="11">
        <v>21155</v>
      </c>
      <c r="B117" s="6">
        <v>336</v>
      </c>
      <c r="C117" s="12">
        <f t="shared" si="6"/>
        <v>305.19788154844241</v>
      </c>
      <c r="D117" s="12">
        <f t="shared" si="7"/>
        <v>1.0071770938869222</v>
      </c>
      <c r="F117" s="12">
        <f t="shared" si="5"/>
        <v>307.38831539840533</v>
      </c>
      <c r="G117" s="12">
        <f t="shared" si="8"/>
        <v>818.62849574112988</v>
      </c>
    </row>
  </sheetData>
  <mergeCells count="3">
    <mergeCell ref="C1:E1"/>
    <mergeCell ref="I8:J8"/>
    <mergeCell ref="I14:M2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9"/>
  </sheetPr>
  <dimension ref="A1:O117"/>
  <sheetViews>
    <sheetView tabSelected="1" workbookViewId="0">
      <selection activeCell="G7" sqref="G7"/>
    </sheetView>
  </sheetViews>
  <sheetFormatPr defaultRowHeight="14.5" x14ac:dyDescent="0.35"/>
  <cols>
    <col min="1" max="1" width="10.453125" style="6" bestFit="1" customWidth="1"/>
    <col min="2" max="2" width="22.36328125" style="6" bestFit="1" customWidth="1"/>
    <col min="3" max="3" width="7.6328125" style="6" bestFit="1" customWidth="1"/>
    <col min="4" max="5" width="17.26953125" style="6" customWidth="1"/>
    <col min="6" max="6" width="7.6328125" style="6" bestFit="1" customWidth="1"/>
    <col min="7" max="7" width="12.54296875" style="6" bestFit="1" customWidth="1"/>
    <col min="8" max="8" width="8.7265625" style="6"/>
    <col min="9" max="9" width="16.7265625" style="6" bestFit="1" customWidth="1"/>
    <col min="10" max="10" width="8.81640625" style="6" bestFit="1" customWidth="1"/>
    <col min="11" max="11" width="12.453125" style="6" customWidth="1"/>
    <col min="12" max="12" width="10.6328125" style="6" bestFit="1" customWidth="1"/>
    <col min="13" max="16384" width="8.7265625" style="6"/>
  </cols>
  <sheetData>
    <row r="1" spans="1:15" ht="15" thickBot="1" x14ac:dyDescent="0.4">
      <c r="C1" s="43" t="s">
        <v>0</v>
      </c>
      <c r="D1" s="43"/>
      <c r="E1" s="43"/>
      <c r="I1" s="8"/>
      <c r="J1" s="8"/>
    </row>
    <row r="2" spans="1:15" ht="15" thickBot="1" x14ac:dyDescent="0.4">
      <c r="D2" s="6" t="s">
        <v>1</v>
      </c>
      <c r="E2" s="3">
        <v>0.25062299999999998</v>
      </c>
      <c r="I2" s="8"/>
      <c r="J2" s="8"/>
    </row>
    <row r="3" spans="1:15" ht="15" thickBot="1" x14ac:dyDescent="0.4">
      <c r="D3" s="6" t="s">
        <v>9</v>
      </c>
      <c r="E3" s="3">
        <v>9.0058310000000004E-9</v>
      </c>
      <c r="I3" s="13"/>
      <c r="J3" s="13"/>
      <c r="K3" s="13"/>
      <c r="L3" s="13"/>
    </row>
    <row r="4" spans="1:15" ht="15" thickBot="1" x14ac:dyDescent="0.4">
      <c r="D4" s="6" t="s">
        <v>10</v>
      </c>
      <c r="E4" s="3">
        <v>0.74937699999999996</v>
      </c>
      <c r="I4" s="14"/>
      <c r="J4" s="14"/>
      <c r="K4" s="13"/>
      <c r="L4" s="13"/>
    </row>
    <row r="5" spans="1:15" ht="15" thickBot="1" x14ac:dyDescent="0.4">
      <c r="D5" s="6" t="s">
        <v>11</v>
      </c>
      <c r="E5" s="4">
        <v>12</v>
      </c>
      <c r="I5" s="14"/>
      <c r="J5" s="14"/>
      <c r="K5" s="13"/>
      <c r="L5" s="13"/>
    </row>
    <row r="6" spans="1:15" x14ac:dyDescent="0.35">
      <c r="I6" s="13"/>
      <c r="J6" s="13"/>
      <c r="K6" s="13"/>
      <c r="L6" s="13"/>
    </row>
    <row r="8" spans="1:15" x14ac:dyDescent="0.35">
      <c r="A8" s="5" t="s">
        <v>2</v>
      </c>
      <c r="B8" s="5" t="s">
        <v>3</v>
      </c>
      <c r="C8" s="5" t="s">
        <v>4</v>
      </c>
      <c r="D8" s="5" t="s">
        <v>5</v>
      </c>
      <c r="E8" s="5" t="s">
        <v>6</v>
      </c>
      <c r="F8" s="5" t="s">
        <v>18</v>
      </c>
      <c r="G8" s="5" t="s">
        <v>7</v>
      </c>
      <c r="I8" s="43" t="s">
        <v>16</v>
      </c>
      <c r="J8" s="43"/>
      <c r="M8" s="7"/>
    </row>
    <row r="9" spans="1:15" ht="15" thickBot="1" x14ac:dyDescent="0.4">
      <c r="A9" s="5"/>
      <c r="B9" s="5"/>
      <c r="C9" s="5"/>
      <c r="D9" s="5"/>
      <c r="E9" s="5"/>
      <c r="F9" s="5"/>
      <c r="G9" s="5"/>
      <c r="I9" s="5"/>
      <c r="J9" s="5"/>
    </row>
    <row r="10" spans="1:15" ht="15" thickBot="1" x14ac:dyDescent="0.4">
      <c r="A10" s="11">
        <v>17899</v>
      </c>
      <c r="B10" s="6">
        <v>112</v>
      </c>
      <c r="C10" s="3">
        <v>190.32849999999999</v>
      </c>
      <c r="D10" s="3">
        <v>2.4839530000000001</v>
      </c>
      <c r="E10" s="1">
        <v>-80.805980000000005</v>
      </c>
      <c r="F10" s="12">
        <f>SUM(C10:E10)</f>
        <v>112.006473</v>
      </c>
      <c r="G10" s="12">
        <f t="shared" ref="G10" si="0">(F10-B10)^2</f>
        <v>4.1899728999996491E-5</v>
      </c>
      <c r="I10" s="9" t="s">
        <v>8</v>
      </c>
      <c r="J10" s="16">
        <f>SUM(G10:G117)</f>
        <v>11964.797142607416</v>
      </c>
      <c r="O10" s="7"/>
    </row>
    <row r="11" spans="1:15" ht="15" thickBot="1" x14ac:dyDescent="0.4">
      <c r="A11" s="11">
        <v>17930</v>
      </c>
      <c r="B11" s="6">
        <v>118</v>
      </c>
      <c r="C11" s="12">
        <f>(B10-E10)*$E$2+(C10+D10)*(1-$E$2)</f>
        <v>192.81083071732098</v>
      </c>
      <c r="D11" s="12">
        <f>(C11-C10)*$E$3+D10*(1-$E$3)</f>
        <v>2.48395299998539</v>
      </c>
      <c r="E11" s="1">
        <v>-75.232200000000006</v>
      </c>
      <c r="F11" s="12">
        <f t="shared" ref="F11:F74" si="1">SUM(C11:E11)</f>
        <v>120.06258371730635</v>
      </c>
      <c r="G11" s="12">
        <f>(F11-B11)^2</f>
        <v>4.2542515908972938</v>
      </c>
      <c r="O11" s="7"/>
    </row>
    <row r="12" spans="1:15" ht="15" thickBot="1" x14ac:dyDescent="0.4">
      <c r="A12" s="11">
        <v>17958</v>
      </c>
      <c r="B12" s="6">
        <v>132</v>
      </c>
      <c r="C12" s="12">
        <f t="shared" ref="C12:C75" si="2">(B11-E11)*$E$2+(C11+D11)*(1-$E$2)</f>
        <v>194.77785279832389</v>
      </c>
      <c r="D12" s="12">
        <f t="shared" ref="D12:D75" si="3">(C12-C11)*$E$3+D11*(1-$E$3)</f>
        <v>2.4839529953299975</v>
      </c>
      <c r="E12" s="1">
        <v>-62.745080000000002</v>
      </c>
      <c r="F12" s="12">
        <f t="shared" si="1"/>
        <v>134.51672579365388</v>
      </c>
      <c r="G12" s="12">
        <f t="shared" ref="G12:G75" si="4">(F12-B12)^2</f>
        <v>6.3339087204427322</v>
      </c>
      <c r="O12" s="7"/>
    </row>
    <row r="13" spans="1:15" ht="15" thickBot="1" x14ac:dyDescent="0.4">
      <c r="A13" s="11">
        <v>17989</v>
      </c>
      <c r="B13" s="6">
        <v>129</v>
      </c>
      <c r="C13" s="12">
        <f t="shared" si="2"/>
        <v>196.63105642507094</v>
      </c>
      <c r="D13" s="12">
        <f t="shared" si="3"/>
        <v>2.4839529896495751</v>
      </c>
      <c r="E13" s="1">
        <v>-67.96508</v>
      </c>
      <c r="F13" s="12">
        <f t="shared" si="1"/>
        <v>131.1499294147205</v>
      </c>
      <c r="G13" s="12">
        <f t="shared" si="4"/>
        <v>4.6221964882804469</v>
      </c>
      <c r="M13" s="7"/>
      <c r="O13" s="7"/>
    </row>
    <row r="14" spans="1:15" ht="15" thickBot="1" x14ac:dyDescent="0.4">
      <c r="A14" s="11">
        <v>18019</v>
      </c>
      <c r="B14" s="6">
        <v>121</v>
      </c>
      <c r="C14" s="12">
        <f t="shared" si="2"/>
        <v>198.57618765501502</v>
      </c>
      <c r="D14" s="12">
        <f t="shared" si="3"/>
        <v>2.4839529847970372</v>
      </c>
      <c r="E14" s="1">
        <v>-76.701779999999999</v>
      </c>
      <c r="F14" s="12">
        <f t="shared" si="1"/>
        <v>124.35836063981206</v>
      </c>
      <c r="G14" s="12">
        <f t="shared" si="4"/>
        <v>11.278586187038885</v>
      </c>
      <c r="I14" s="34" t="s">
        <v>55</v>
      </c>
      <c r="J14" s="35"/>
      <c r="K14" s="35"/>
      <c r="L14" s="35"/>
      <c r="M14" s="36"/>
      <c r="O14" s="7"/>
    </row>
    <row r="15" spans="1:15" ht="15" thickBot="1" x14ac:dyDescent="0.4">
      <c r="A15" s="11">
        <v>18050</v>
      </c>
      <c r="B15" s="6">
        <v>135</v>
      </c>
      <c r="C15" s="12">
        <f t="shared" si="2"/>
        <v>200.21845822118044</v>
      </c>
      <c r="D15" s="12">
        <f t="shared" si="3"/>
        <v>2.4839529772169873</v>
      </c>
      <c r="E15" s="1">
        <v>-62.587870000000002</v>
      </c>
      <c r="F15" s="12">
        <f t="shared" si="1"/>
        <v>140.11454119839743</v>
      </c>
      <c r="G15" s="12">
        <f t="shared" si="4"/>
        <v>26.158531670104647</v>
      </c>
      <c r="I15" s="37"/>
      <c r="J15" s="38"/>
      <c r="K15" s="38"/>
      <c r="L15" s="38"/>
      <c r="M15" s="39"/>
      <c r="O15" s="7"/>
    </row>
    <row r="16" spans="1:15" ht="15" thickBot="1" x14ac:dyDescent="0.4">
      <c r="A16" s="11">
        <v>18080</v>
      </c>
      <c r="B16" s="6">
        <v>148</v>
      </c>
      <c r="C16" s="12">
        <f t="shared" si="2"/>
        <v>201.42058953963146</v>
      </c>
      <c r="D16" s="12">
        <f t="shared" si="3"/>
        <v>2.4839529656731183</v>
      </c>
      <c r="E16" s="1">
        <v>-50.383719999999997</v>
      </c>
      <c r="F16" s="12">
        <f t="shared" si="1"/>
        <v>153.52082250530458</v>
      </c>
      <c r="G16" s="12">
        <f t="shared" si="4"/>
        <v>30.479481135077531</v>
      </c>
      <c r="I16" s="37"/>
      <c r="J16" s="38"/>
      <c r="K16" s="38"/>
      <c r="L16" s="38"/>
      <c r="M16" s="39"/>
      <c r="O16" s="7"/>
    </row>
    <row r="17" spans="1:15" ht="15" thickBot="1" x14ac:dyDescent="0.4">
      <c r="A17" s="11">
        <v>18111</v>
      </c>
      <c r="B17" s="6">
        <v>148</v>
      </c>
      <c r="C17" s="12">
        <f t="shared" si="2"/>
        <v>202.52089740655762</v>
      </c>
      <c r="D17" s="12">
        <f t="shared" si="3"/>
        <v>2.4839529532122446</v>
      </c>
      <c r="E17" s="1">
        <v>-52.822899999999997</v>
      </c>
      <c r="F17" s="12">
        <f t="shared" si="1"/>
        <v>152.18195035976987</v>
      </c>
      <c r="G17" s="12">
        <f t="shared" si="4"/>
        <v>17.488708811579357</v>
      </c>
      <c r="I17" s="37"/>
      <c r="J17" s="38"/>
      <c r="K17" s="38"/>
      <c r="L17" s="38"/>
      <c r="M17" s="39"/>
      <c r="O17" s="7"/>
    </row>
    <row r="18" spans="1:15" ht="15" thickBot="1" x14ac:dyDescent="0.4">
      <c r="A18" s="11">
        <v>18142</v>
      </c>
      <c r="B18" s="6">
        <v>136</v>
      </c>
      <c r="C18" s="12">
        <f t="shared" si="2"/>
        <v>203.95675741475327</v>
      </c>
      <c r="D18" s="12">
        <f t="shared" si="3"/>
        <v>2.4839529437732968</v>
      </c>
      <c r="E18" s="1">
        <v>-67.000349999999997</v>
      </c>
      <c r="F18" s="12">
        <f t="shared" si="1"/>
        <v>139.44036035852656</v>
      </c>
      <c r="G18" s="12">
        <f t="shared" si="4"/>
        <v>11.83607939652101</v>
      </c>
      <c r="I18" s="37"/>
      <c r="J18" s="38"/>
      <c r="K18" s="38"/>
      <c r="L18" s="38"/>
      <c r="M18" s="39"/>
      <c r="O18" s="7"/>
    </row>
    <row r="19" spans="1:15" ht="15" thickBot="1" x14ac:dyDescent="0.4">
      <c r="A19" s="11">
        <v>18172</v>
      </c>
      <c r="B19" s="6">
        <v>119</v>
      </c>
      <c r="C19" s="12">
        <f t="shared" si="2"/>
        <v>205.57847692439157</v>
      </c>
      <c r="D19" s="12">
        <f t="shared" si="3"/>
        <v>2.4839529360081682</v>
      </c>
      <c r="E19" s="1">
        <v>-85.883629999999997</v>
      </c>
      <c r="F19" s="12">
        <f t="shared" si="1"/>
        <v>122.17879986039974</v>
      </c>
      <c r="G19" s="12">
        <f t="shared" si="4"/>
        <v>10.104768552477376</v>
      </c>
      <c r="I19" s="37"/>
      <c r="J19" s="38"/>
      <c r="K19" s="38"/>
      <c r="L19" s="38"/>
      <c r="M19" s="39"/>
      <c r="O19" s="7"/>
    </row>
    <row r="20" spans="1:15" ht="15" thickBot="1" x14ac:dyDescent="0.4">
      <c r="A20" s="11">
        <v>18203</v>
      </c>
      <c r="B20" s="6">
        <v>104</v>
      </c>
      <c r="C20" s="12">
        <f t="shared" si="2"/>
        <v>207.26574950298675</v>
      </c>
      <c r="D20" s="12">
        <f t="shared" si="3"/>
        <v>2.4839529288333995</v>
      </c>
      <c r="E20" s="1">
        <v>-100.4529</v>
      </c>
      <c r="F20" s="12">
        <f t="shared" si="1"/>
        <v>109.29680243182014</v>
      </c>
      <c r="G20" s="12">
        <f t="shared" si="4"/>
        <v>28.056116001735749</v>
      </c>
      <c r="I20" s="37"/>
      <c r="J20" s="38"/>
      <c r="K20" s="38"/>
      <c r="L20" s="38"/>
      <c r="M20" s="39"/>
      <c r="O20" s="7"/>
    </row>
    <row r="21" spans="1:15" ht="15" thickBot="1" x14ac:dyDescent="0.4">
      <c r="A21" s="11">
        <v>18233</v>
      </c>
      <c r="B21" s="6">
        <v>118</v>
      </c>
      <c r="C21" s="12">
        <f t="shared" si="2"/>
        <v>208.42220191595007</v>
      </c>
      <c r="D21" s="12">
        <f t="shared" si="3"/>
        <v>2.4839529168781542</v>
      </c>
      <c r="E21" s="1">
        <v>-84.019900000000007</v>
      </c>
      <c r="F21" s="12">
        <f t="shared" si="1"/>
        <v>126.88625483282823</v>
      </c>
      <c r="G21" s="12">
        <f t="shared" si="4"/>
        <v>78.965524953963055</v>
      </c>
      <c r="I21" s="37"/>
      <c r="J21" s="38"/>
      <c r="K21" s="38"/>
      <c r="L21" s="38"/>
      <c r="M21" s="39"/>
    </row>
    <row r="22" spans="1:15" x14ac:dyDescent="0.35">
      <c r="A22" s="11">
        <v>18264</v>
      </c>
      <c r="B22" s="6">
        <v>115</v>
      </c>
      <c r="C22" s="12">
        <f t="shared" si="2"/>
        <v>208.67905498786033</v>
      </c>
      <c r="D22" s="12">
        <f t="shared" si="3"/>
        <v>2.4839528968212696</v>
      </c>
      <c r="E22" s="15">
        <f>$E$4*(B10-C10-D10)+(1-$E$4)*E10</f>
        <v>-80.810830717320997</v>
      </c>
      <c r="F22" s="12">
        <f t="shared" si="1"/>
        <v>130.35217716736059</v>
      </c>
      <c r="G22" s="12">
        <f t="shared" si="4"/>
        <v>235.68934377802796</v>
      </c>
      <c r="I22" s="37"/>
      <c r="J22" s="38"/>
      <c r="K22" s="38"/>
      <c r="L22" s="38"/>
      <c r="M22" s="39"/>
    </row>
    <row r="23" spans="1:15" x14ac:dyDescent="0.35">
      <c r="A23" s="11">
        <v>18295</v>
      </c>
      <c r="B23" s="6">
        <v>126</v>
      </c>
      <c r="C23" s="12">
        <f t="shared" si="2"/>
        <v>207.31539918646615</v>
      </c>
      <c r="D23" s="12">
        <f t="shared" si="3"/>
        <v>2.4839528621703559</v>
      </c>
      <c r="E23" s="6">
        <f t="shared" ref="E23:E86" si="5">$E$4*(B11-C11-D11)+(1-$E$4)*E11</f>
        <v>-76.777852798323892</v>
      </c>
      <c r="F23" s="12">
        <f t="shared" si="1"/>
        <v>133.02149925031262</v>
      </c>
      <c r="G23" s="12">
        <f t="shared" si="4"/>
        <v>49.301451722140619</v>
      </c>
      <c r="I23" s="37"/>
      <c r="J23" s="38"/>
      <c r="K23" s="38"/>
      <c r="L23" s="38"/>
      <c r="M23" s="39"/>
    </row>
    <row r="24" spans="1:15" ht="15" thickBot="1" x14ac:dyDescent="0.4">
      <c r="A24" s="11">
        <v>18323</v>
      </c>
      <c r="B24" s="6">
        <v>141</v>
      </c>
      <c r="C24" s="12">
        <f t="shared" si="2"/>
        <v>208.03960284202537</v>
      </c>
      <c r="D24" s="12">
        <f t="shared" si="3"/>
        <v>2.4839528463223521</v>
      </c>
      <c r="E24" s="6">
        <f t="shared" si="5"/>
        <v>-64.631056425070966</v>
      </c>
      <c r="F24" s="12">
        <f t="shared" si="1"/>
        <v>145.89249926327676</v>
      </c>
      <c r="G24" s="12">
        <f t="shared" si="4"/>
        <v>23.936549041163651</v>
      </c>
      <c r="I24" s="40"/>
      <c r="J24" s="41"/>
      <c r="K24" s="41"/>
      <c r="L24" s="41"/>
      <c r="M24" s="42"/>
    </row>
    <row r="25" spans="1:15" x14ac:dyDescent="0.35">
      <c r="A25" s="11">
        <v>18354</v>
      </c>
      <c r="B25" s="6">
        <v>135</v>
      </c>
      <c r="C25" s="12">
        <f t="shared" si="2"/>
        <v>209.2973828454875</v>
      </c>
      <c r="D25" s="12">
        <f t="shared" si="3"/>
        <v>2.4839528352796467</v>
      </c>
      <c r="E25" s="6">
        <f t="shared" si="5"/>
        <v>-69.576187655015019</v>
      </c>
      <c r="F25" s="12">
        <f t="shared" si="1"/>
        <v>142.20514802575212</v>
      </c>
      <c r="G25" s="12">
        <f t="shared" si="4"/>
        <v>51.914158072999719</v>
      </c>
    </row>
    <row r="26" spans="1:15" x14ac:dyDescent="0.35">
      <c r="A26" s="11">
        <v>18384</v>
      </c>
      <c r="B26" s="6">
        <v>125</v>
      </c>
      <c r="C26" s="12">
        <f t="shared" si="2"/>
        <v>209.97555986710904</v>
      </c>
      <c r="D26" s="12">
        <f t="shared" si="3"/>
        <v>2.4839528190171349</v>
      </c>
      <c r="E26" s="6">
        <f t="shared" si="5"/>
        <v>-79.218458221180441</v>
      </c>
      <c r="F26" s="12">
        <f t="shared" si="1"/>
        <v>133.24105446494573</v>
      </c>
      <c r="G26" s="12">
        <f t="shared" si="4"/>
        <v>67.914978694202006</v>
      </c>
    </row>
    <row r="27" spans="1:15" x14ac:dyDescent="0.35">
      <c r="A27" s="11">
        <v>18415</v>
      </c>
      <c r="B27" s="6">
        <v>149</v>
      </c>
      <c r="C27" s="12">
        <f t="shared" si="2"/>
        <v>210.39411489295807</v>
      </c>
      <c r="D27" s="12">
        <f t="shared" si="3"/>
        <v>2.4839528004165117</v>
      </c>
      <c r="E27" s="6">
        <f t="shared" si="5"/>
        <v>-66.420589539631465</v>
      </c>
      <c r="F27" s="12">
        <f t="shared" si="1"/>
        <v>146.45747815374312</v>
      </c>
      <c r="G27" s="12">
        <f t="shared" si="4"/>
        <v>6.4644173386934689</v>
      </c>
    </row>
    <row r="28" spans="1:15" x14ac:dyDescent="0.35">
      <c r="A28" s="11">
        <v>18445</v>
      </c>
      <c r="B28" s="6">
        <v>170</v>
      </c>
      <c r="C28" s="12">
        <f t="shared" si="2"/>
        <v>213.51528214604903</v>
      </c>
      <c r="D28" s="12">
        <f t="shared" si="3"/>
        <v>2.4839528061551572</v>
      </c>
      <c r="E28" s="6">
        <f t="shared" si="5"/>
        <v>-54.52089740655763</v>
      </c>
      <c r="F28" s="12">
        <f t="shared" si="1"/>
        <v>161.47833754564655</v>
      </c>
      <c r="G28" s="12">
        <f t="shared" si="4"/>
        <v>72.618730985937205</v>
      </c>
    </row>
    <row r="29" spans="1:15" x14ac:dyDescent="0.35">
      <c r="A29" s="11">
        <v>18476</v>
      </c>
      <c r="B29" s="6">
        <v>170</v>
      </c>
      <c r="C29" s="12">
        <f t="shared" si="2"/>
        <v>218.1349595615016</v>
      </c>
      <c r="D29" s="12">
        <f t="shared" si="3"/>
        <v>2.4839528253891321</v>
      </c>
      <c r="E29" s="6">
        <f t="shared" si="5"/>
        <v>-55.95675741475327</v>
      </c>
      <c r="F29" s="12">
        <f t="shared" si="1"/>
        <v>164.66215497213747</v>
      </c>
      <c r="G29" s="12">
        <f t="shared" si="4"/>
        <v>28.492589541476711</v>
      </c>
    </row>
    <row r="30" spans="1:15" x14ac:dyDescent="0.35">
      <c r="A30" s="11">
        <v>18507</v>
      </c>
      <c r="B30" s="6">
        <v>158</v>
      </c>
      <c r="C30" s="12">
        <f t="shared" si="2"/>
        <v>221.95669912130873</v>
      </c>
      <c r="D30" s="12">
        <f t="shared" si="3"/>
        <v>2.4839528374370135</v>
      </c>
      <c r="E30" s="6">
        <f t="shared" si="5"/>
        <v>-69.578476924391566</v>
      </c>
      <c r="F30" s="12">
        <f t="shared" si="1"/>
        <v>154.86217503435418</v>
      </c>
      <c r="G30" s="12">
        <f t="shared" si="4"/>
        <v>9.8459455150301878</v>
      </c>
    </row>
    <row r="31" spans="1:15" x14ac:dyDescent="0.35">
      <c r="A31" s="11">
        <v>18537</v>
      </c>
      <c r="B31" s="6">
        <v>133</v>
      </c>
      <c r="C31" s="12">
        <f t="shared" si="2"/>
        <v>225.22706306511077</v>
      </c>
      <c r="D31" s="12">
        <f t="shared" si="3"/>
        <v>2.4839528445192989</v>
      </c>
      <c r="E31" s="6">
        <f t="shared" si="5"/>
        <v>-88.265749502986765</v>
      </c>
      <c r="F31" s="12">
        <f t="shared" si="1"/>
        <v>139.44526640664333</v>
      </c>
      <c r="G31" s="12">
        <f t="shared" si="4"/>
        <v>41.541459052604985</v>
      </c>
    </row>
    <row r="32" spans="1:15" x14ac:dyDescent="0.35">
      <c r="A32" s="11">
        <v>18568</v>
      </c>
      <c r="B32" s="6">
        <v>114</v>
      </c>
      <c r="C32" s="12">
        <f t="shared" si="2"/>
        <v>226.09568390699789</v>
      </c>
      <c r="D32" s="12">
        <f t="shared" si="3"/>
        <v>2.4839528299718916</v>
      </c>
      <c r="E32" s="6">
        <f t="shared" si="5"/>
        <v>-104.4222019159501</v>
      </c>
      <c r="F32" s="12">
        <f t="shared" si="1"/>
        <v>124.15743482101968</v>
      </c>
      <c r="G32" s="12">
        <f t="shared" si="4"/>
        <v>103.17348214326304</v>
      </c>
    </row>
    <row r="33" spans="1:7" x14ac:dyDescent="0.35">
      <c r="A33" s="11">
        <v>18598</v>
      </c>
      <c r="B33" s="6">
        <v>140</v>
      </c>
      <c r="C33" s="12">
        <f t="shared" si="2"/>
        <v>226.03394994982136</v>
      </c>
      <c r="D33" s="12">
        <f t="shared" si="3"/>
        <v>2.483952807045867</v>
      </c>
      <c r="E33" s="6">
        <f t="shared" si="5"/>
        <v>-90.679054987860326</v>
      </c>
      <c r="F33" s="12">
        <f t="shared" si="1"/>
        <v>137.83884776900689</v>
      </c>
      <c r="G33" s="12">
        <f t="shared" si="4"/>
        <v>4.6705789655264986</v>
      </c>
    </row>
    <row r="34" spans="1:7" x14ac:dyDescent="0.35">
      <c r="A34" s="11">
        <v>18629</v>
      </c>
      <c r="B34" s="6">
        <v>145</v>
      </c>
      <c r="C34" s="12">
        <f t="shared" si="2"/>
        <v>229.05953721245541</v>
      </c>
      <c r="D34" s="12">
        <f t="shared" si="3"/>
        <v>2.4839528119237353</v>
      </c>
      <c r="E34" s="6">
        <f t="shared" si="5"/>
        <v>-92.31539918646618</v>
      </c>
      <c r="F34" s="12">
        <f t="shared" si="1"/>
        <v>139.22809083791296</v>
      </c>
      <c r="G34" s="12">
        <f t="shared" si="4"/>
        <v>33.314935375384337</v>
      </c>
    </row>
    <row r="35" spans="1:7" x14ac:dyDescent="0.35">
      <c r="A35" s="11">
        <v>18660</v>
      </c>
      <c r="B35" s="6">
        <v>150</v>
      </c>
      <c r="C35" s="12">
        <f t="shared" si="2"/>
        <v>232.99006321430886</v>
      </c>
      <c r="D35" s="12">
        <f t="shared" si="3"/>
        <v>2.483952824951329</v>
      </c>
      <c r="E35" s="6">
        <f t="shared" si="5"/>
        <v>-82.039602842025403</v>
      </c>
      <c r="F35" s="12">
        <f t="shared" si="1"/>
        <v>153.43441319723479</v>
      </c>
      <c r="G35" s="12">
        <f t="shared" si="4"/>
        <v>11.79519400934049</v>
      </c>
    </row>
    <row r="36" spans="1:7" x14ac:dyDescent="0.35">
      <c r="A36" s="11">
        <v>18688</v>
      </c>
      <c r="B36" s="6">
        <v>178</v>
      </c>
      <c r="C36" s="12">
        <f t="shared" si="2"/>
        <v>234.6132731005296</v>
      </c>
      <c r="D36" s="12">
        <f t="shared" si="3"/>
        <v>2.4839528171996239</v>
      </c>
      <c r="E36" s="6">
        <f t="shared" si="5"/>
        <v>-68.297382845487519</v>
      </c>
      <c r="F36" s="12">
        <f t="shared" si="1"/>
        <v>168.79984307224169</v>
      </c>
      <c r="G36" s="12">
        <f t="shared" si="4"/>
        <v>84.642887495379313</v>
      </c>
    </row>
    <row r="37" spans="1:7" x14ac:dyDescent="0.35">
      <c r="A37" s="11">
        <v>18719</v>
      </c>
      <c r="B37" s="6">
        <v>163</v>
      </c>
      <c r="C37" s="12">
        <f t="shared" si="2"/>
        <v>239.40299684743476</v>
      </c>
      <c r="D37" s="12">
        <f t="shared" si="3"/>
        <v>2.4839528379650075</v>
      </c>
      <c r="E37" s="6">
        <f t="shared" si="5"/>
        <v>-74.975559867109084</v>
      </c>
      <c r="F37" s="12">
        <f t="shared" si="1"/>
        <v>166.91138981829067</v>
      </c>
      <c r="G37" s="12">
        <f t="shared" si="4"/>
        <v>15.298970310627938</v>
      </c>
    </row>
    <row r="38" spans="1:7" x14ac:dyDescent="0.35">
      <c r="A38" s="11">
        <v>18749</v>
      </c>
      <c r="B38" s="6">
        <v>172</v>
      </c>
      <c r="C38" s="12">
        <f t="shared" si="2"/>
        <v>240.90666543497028</v>
      </c>
      <c r="D38" s="12">
        <f t="shared" si="3"/>
        <v>2.483952829136733</v>
      </c>
      <c r="E38" s="6">
        <f t="shared" si="5"/>
        <v>-85.394114892958072</v>
      </c>
      <c r="F38" s="12">
        <f t="shared" si="1"/>
        <v>157.99650337114895</v>
      </c>
      <c r="G38" s="12">
        <f t="shared" si="4"/>
        <v>196.09791783424282</v>
      </c>
    </row>
    <row r="39" spans="1:7" x14ac:dyDescent="0.35">
      <c r="A39" s="11">
        <v>18780</v>
      </c>
      <c r="B39" s="6">
        <v>178</v>
      </c>
      <c r="C39" s="12">
        <f t="shared" si="2"/>
        <v>246.90021659971956</v>
      </c>
      <c r="D39" s="12">
        <f t="shared" si="3"/>
        <v>2.4839528607435826</v>
      </c>
      <c r="E39" s="6">
        <f t="shared" si="5"/>
        <v>-64.515282146049017</v>
      </c>
      <c r="F39" s="12">
        <f t="shared" si="1"/>
        <v>184.86888731441411</v>
      </c>
      <c r="G39" s="12">
        <f t="shared" si="4"/>
        <v>47.181612938119081</v>
      </c>
    </row>
    <row r="40" spans="1:7" x14ac:dyDescent="0.35">
      <c r="A40" s="11">
        <v>18810</v>
      </c>
      <c r="B40" s="6">
        <v>199</v>
      </c>
      <c r="C40" s="12">
        <f t="shared" si="2"/>
        <v>247.66266831506272</v>
      </c>
      <c r="D40" s="12">
        <f t="shared" si="3"/>
        <v>2.4839528452400343</v>
      </c>
      <c r="E40" s="6">
        <f t="shared" si="5"/>
        <v>-48.13495956150161</v>
      </c>
      <c r="F40" s="12">
        <f t="shared" si="1"/>
        <v>202.01166159880114</v>
      </c>
      <c r="G40" s="12">
        <f t="shared" si="4"/>
        <v>9.0701055856934403</v>
      </c>
    </row>
    <row r="41" spans="1:7" x14ac:dyDescent="0.35">
      <c r="A41" s="11">
        <v>18841</v>
      </c>
      <c r="B41" s="6">
        <v>199</v>
      </c>
      <c r="C41" s="12">
        <f t="shared" si="2"/>
        <v>249.39182949542638</v>
      </c>
      <c r="D41" s="12">
        <f t="shared" si="3"/>
        <v>2.4839528384425082</v>
      </c>
      <c r="E41" s="6">
        <f t="shared" si="5"/>
        <v>-51.956699121308723</v>
      </c>
      <c r="F41" s="12">
        <f t="shared" si="1"/>
        <v>199.91908321256017</v>
      </c>
      <c r="G41" s="12">
        <f t="shared" si="4"/>
        <v>0.84471395160991769</v>
      </c>
    </row>
    <row r="42" spans="1:7" x14ac:dyDescent="0.35">
      <c r="A42" s="11">
        <v>18872</v>
      </c>
      <c r="B42" s="6">
        <v>184</v>
      </c>
      <c r="C42" s="12">
        <f t="shared" si="2"/>
        <v>251.64543894188742</v>
      </c>
      <c r="D42" s="12">
        <f t="shared" si="3"/>
        <v>2.4839528363680743</v>
      </c>
      <c r="E42" s="6">
        <f t="shared" si="5"/>
        <v>-67.227063065110798</v>
      </c>
      <c r="F42" s="12">
        <f t="shared" si="1"/>
        <v>186.9023287131447</v>
      </c>
      <c r="G42" s="12">
        <f t="shared" si="4"/>
        <v>8.4235119591441574</v>
      </c>
    </row>
    <row r="43" spans="1:7" x14ac:dyDescent="0.35">
      <c r="A43" s="11">
        <v>18902</v>
      </c>
      <c r="B43" s="6">
        <v>162</v>
      </c>
      <c r="C43" s="12">
        <f t="shared" si="2"/>
        <v>253.40200144918103</v>
      </c>
      <c r="D43" s="12">
        <f t="shared" si="3"/>
        <v>2.4839528298173197</v>
      </c>
      <c r="E43" s="6">
        <f t="shared" si="5"/>
        <v>-93.095683906997891</v>
      </c>
      <c r="F43" s="12">
        <f t="shared" si="1"/>
        <v>162.79027037200046</v>
      </c>
      <c r="G43" s="12">
        <f t="shared" si="4"/>
        <v>0.62452726086175148</v>
      </c>
    </row>
    <row r="44" spans="1:7" x14ac:dyDescent="0.35">
      <c r="A44" s="11">
        <v>18933</v>
      </c>
      <c r="B44" s="6">
        <v>146</v>
      </c>
      <c r="C44" s="12">
        <f t="shared" si="2"/>
        <v>255.68789434755647</v>
      </c>
      <c r="D44" s="12">
        <f t="shared" si="3"/>
        <v>2.4839528280336256</v>
      </c>
      <c r="E44" s="6">
        <f t="shared" si="5"/>
        <v>-112.03394994982136</v>
      </c>
      <c r="F44" s="12">
        <f t="shared" si="1"/>
        <v>146.13789722576871</v>
      </c>
      <c r="G44" s="12">
        <f t="shared" si="4"/>
        <v>1.901564487470685E-2</v>
      </c>
    </row>
    <row r="45" spans="1:7" x14ac:dyDescent="0.35">
      <c r="A45" s="11">
        <v>18963</v>
      </c>
      <c r="B45" s="6">
        <v>166</v>
      </c>
      <c r="C45" s="12">
        <f t="shared" si="2"/>
        <v>258.13728695917621</v>
      </c>
      <c r="D45" s="12">
        <f t="shared" si="3"/>
        <v>2.4839528277223826</v>
      </c>
      <c r="E45" s="6">
        <f t="shared" si="5"/>
        <v>-89.05953721245541</v>
      </c>
      <c r="F45" s="12">
        <f t="shared" si="1"/>
        <v>171.56170257444316</v>
      </c>
      <c r="G45" s="12">
        <f t="shared" si="4"/>
        <v>30.932535526567676</v>
      </c>
    </row>
    <row r="46" spans="1:7" x14ac:dyDescent="0.35">
      <c r="A46" s="11">
        <v>18994</v>
      </c>
      <c r="B46" s="6">
        <v>171</v>
      </c>
      <c r="C46" s="12">
        <f t="shared" si="2"/>
        <v>259.22734920258387</v>
      </c>
      <c r="D46" s="12">
        <f t="shared" si="3"/>
        <v>2.4839528151692396</v>
      </c>
      <c r="E46" s="6">
        <f t="shared" si="5"/>
        <v>-87.990063214308876</v>
      </c>
      <c r="F46" s="12">
        <f t="shared" si="1"/>
        <v>173.72123880344424</v>
      </c>
      <c r="G46" s="12">
        <f t="shared" si="4"/>
        <v>7.4051406253706222</v>
      </c>
    </row>
    <row r="47" spans="1:7" x14ac:dyDescent="0.35">
      <c r="A47" s="11">
        <v>19025</v>
      </c>
      <c r="B47" s="6">
        <v>180</v>
      </c>
      <c r="C47" s="12">
        <f t="shared" si="2"/>
        <v>261.02929698511747</v>
      </c>
      <c r="D47" s="12">
        <f t="shared" si="3"/>
        <v>2.4839528090272176</v>
      </c>
      <c r="E47" s="6">
        <f t="shared" si="5"/>
        <v>-84.613273100529611</v>
      </c>
      <c r="F47" s="12">
        <f t="shared" si="1"/>
        <v>178.89997669361509</v>
      </c>
      <c r="G47" s="12">
        <f t="shared" si="4"/>
        <v>1.2100512745899947</v>
      </c>
    </row>
    <row r="48" spans="1:7" x14ac:dyDescent="0.35">
      <c r="A48" s="11">
        <v>19054</v>
      </c>
      <c r="B48" s="6">
        <v>193</v>
      </c>
      <c r="C48" s="12">
        <f t="shared" si="2"/>
        <v>263.78894093526083</v>
      </c>
      <c r="D48" s="12">
        <f t="shared" si="3"/>
        <v>2.4839528115100453</v>
      </c>
      <c r="E48" s="6">
        <f t="shared" si="5"/>
        <v>-61.402996847434792</v>
      </c>
      <c r="F48" s="12">
        <f t="shared" si="1"/>
        <v>204.86989689933608</v>
      </c>
      <c r="G48" s="12">
        <f t="shared" si="4"/>
        <v>140.89445240086837</v>
      </c>
    </row>
    <row r="49" spans="1:7" x14ac:dyDescent="0.35">
      <c r="A49" s="11">
        <v>19085</v>
      </c>
      <c r="B49" s="6">
        <v>181</v>
      </c>
      <c r="C49" s="12">
        <f t="shared" si="2"/>
        <v>263.29802457616859</v>
      </c>
      <c r="D49" s="12">
        <f t="shared" si="3"/>
        <v>2.4839527847188765</v>
      </c>
      <c r="E49" s="6">
        <f t="shared" si="5"/>
        <v>-77.906665434970307</v>
      </c>
      <c r="F49" s="12">
        <f t="shared" si="1"/>
        <v>187.87531192591717</v>
      </c>
      <c r="G49" s="12">
        <f t="shared" si="4"/>
        <v>47.269914078658921</v>
      </c>
    </row>
    <row r="50" spans="1:7" x14ac:dyDescent="0.35">
      <c r="A50" s="11">
        <v>19115</v>
      </c>
      <c r="B50" s="6">
        <v>183</v>
      </c>
      <c r="C50" s="12">
        <f t="shared" si="2"/>
        <v>264.05886606007834</v>
      </c>
      <c r="D50" s="12">
        <f t="shared" si="3"/>
        <v>2.483952769200827</v>
      </c>
      <c r="E50" s="6">
        <f t="shared" si="5"/>
        <v>-74.900216599719556</v>
      </c>
      <c r="F50" s="12">
        <f t="shared" si="1"/>
        <v>191.6426022295596</v>
      </c>
      <c r="G50" s="12">
        <f t="shared" si="4"/>
        <v>74.694573298388562</v>
      </c>
    </row>
    <row r="51" spans="1:7" x14ac:dyDescent="0.35">
      <c r="A51" s="11">
        <v>19146</v>
      </c>
      <c r="B51" s="6">
        <v>218</v>
      </c>
      <c r="C51" s="12">
        <f t="shared" si="2"/>
        <v>264.37678393070024</v>
      </c>
      <c r="D51" s="12">
        <f t="shared" si="3"/>
        <v>2.4839527496938829</v>
      </c>
      <c r="E51" s="6">
        <f t="shared" si="5"/>
        <v>-69.662668315062731</v>
      </c>
      <c r="F51" s="12">
        <f t="shared" si="1"/>
        <v>197.19806836533138</v>
      </c>
      <c r="G51" s="12">
        <f t="shared" si="4"/>
        <v>432.72035973342707</v>
      </c>
    </row>
    <row r="52" spans="1:7" x14ac:dyDescent="0.35">
      <c r="A52" s="11">
        <v>19176</v>
      </c>
      <c r="B52" s="6">
        <v>230</v>
      </c>
      <c r="C52" s="12">
        <f t="shared" si="2"/>
        <v>272.07417919246961</v>
      </c>
      <c r="D52" s="12">
        <f t="shared" si="3"/>
        <v>2.4839527966452652</v>
      </c>
      <c r="E52" s="6">
        <f t="shared" si="5"/>
        <v>-50.391829495426414</v>
      </c>
      <c r="F52" s="12">
        <f t="shared" si="1"/>
        <v>224.16630249368848</v>
      </c>
      <c r="G52" s="12">
        <f t="shared" si="4"/>
        <v>34.032026595145282</v>
      </c>
    </row>
    <row r="53" spans="1:7" x14ac:dyDescent="0.35">
      <c r="A53" s="11">
        <v>19207</v>
      </c>
      <c r="B53" s="6">
        <v>242</v>
      </c>
      <c r="C53" s="12">
        <f t="shared" si="2"/>
        <v>276.0201907592392</v>
      </c>
      <c r="D53" s="12">
        <f t="shared" si="3"/>
        <v>2.4839528098123194</v>
      </c>
      <c r="E53" s="6">
        <f t="shared" si="5"/>
        <v>-52.64543894188742</v>
      </c>
      <c r="F53" s="12">
        <f t="shared" si="1"/>
        <v>225.85870462716409</v>
      </c>
      <c r="G53" s="12">
        <f t="shared" si="4"/>
        <v>260.54141631313405</v>
      </c>
    </row>
    <row r="54" spans="1:7" x14ac:dyDescent="0.35">
      <c r="A54" s="11">
        <v>19238</v>
      </c>
      <c r="B54" s="6">
        <v>209</v>
      </c>
      <c r="C54" s="12">
        <f t="shared" si="2"/>
        <v>282.54952343927772</v>
      </c>
      <c r="D54" s="12">
        <f t="shared" si="3"/>
        <v>2.483952846244327</v>
      </c>
      <c r="E54" s="6">
        <f t="shared" si="5"/>
        <v>-69.402001449181029</v>
      </c>
      <c r="F54" s="12">
        <f t="shared" si="1"/>
        <v>215.63147483634103</v>
      </c>
      <c r="G54" s="12">
        <f t="shared" si="4"/>
        <v>43.976458505024254</v>
      </c>
    </row>
    <row r="55" spans="1:7" x14ac:dyDescent="0.35">
      <c r="A55" s="11">
        <v>19268</v>
      </c>
      <c r="B55" s="6">
        <v>191</v>
      </c>
      <c r="C55" s="12">
        <f t="shared" si="2"/>
        <v>283.37147616761376</v>
      </c>
      <c r="D55" s="12">
        <f t="shared" si="3"/>
        <v>2.4839528312766346</v>
      </c>
      <c r="E55" s="6">
        <f t="shared" si="5"/>
        <v>-93.68789434755648</v>
      </c>
      <c r="F55" s="12">
        <f t="shared" si="1"/>
        <v>192.16753465133388</v>
      </c>
      <c r="G55" s="12">
        <f t="shared" si="4"/>
        <v>1.3631371620653268</v>
      </c>
    </row>
    <row r="56" spans="1:7" x14ac:dyDescent="0.35">
      <c r="A56" s="11">
        <v>19299</v>
      </c>
      <c r="B56" s="6">
        <v>172</v>
      </c>
      <c r="C56" s="12">
        <f t="shared" si="2"/>
        <v>285.56281796196913</v>
      </c>
      <c r="D56" s="12">
        <f t="shared" si="3"/>
        <v>2.4839528286414292</v>
      </c>
      <c r="E56" s="6">
        <f t="shared" si="5"/>
        <v>-112.13728695917625</v>
      </c>
      <c r="F56" s="12">
        <f t="shared" si="1"/>
        <v>175.90948383143427</v>
      </c>
      <c r="G56" s="12">
        <f t="shared" si="4"/>
        <v>15.284063828245998</v>
      </c>
    </row>
    <row r="57" spans="1:7" x14ac:dyDescent="0.35">
      <c r="A57" s="11">
        <v>19329</v>
      </c>
      <c r="B57" s="6">
        <v>194</v>
      </c>
      <c r="C57" s="12">
        <f t="shared" si="2"/>
        <v>287.06696422432498</v>
      </c>
      <c r="D57" s="12">
        <f t="shared" si="3"/>
        <v>2.483952819817457</v>
      </c>
      <c r="E57" s="6">
        <f t="shared" si="5"/>
        <v>-93.227349202583909</v>
      </c>
      <c r="F57" s="12">
        <f t="shared" si="1"/>
        <v>196.32356784155849</v>
      </c>
      <c r="G57" s="12">
        <f t="shared" si="4"/>
        <v>5.3989675143247604</v>
      </c>
    </row>
    <row r="58" spans="1:7" x14ac:dyDescent="0.35">
      <c r="A58" s="11">
        <v>19360</v>
      </c>
      <c r="B58" s="6">
        <v>196</v>
      </c>
      <c r="C58" s="12">
        <f t="shared" si="2"/>
        <v>288.96857750098746</v>
      </c>
      <c r="D58" s="12">
        <f t="shared" si="3"/>
        <v>2.4839528145730054</v>
      </c>
      <c r="E58" s="6">
        <f t="shared" si="5"/>
        <v>-90.029296985117497</v>
      </c>
      <c r="F58" s="12">
        <f t="shared" si="1"/>
        <v>201.42323333044297</v>
      </c>
      <c r="G58" s="12">
        <f t="shared" si="4"/>
        <v>29.411459756427533</v>
      </c>
    </row>
    <row r="59" spans="1:7" x14ac:dyDescent="0.35">
      <c r="A59" s="11">
        <v>19391</v>
      </c>
      <c r="B59" s="6">
        <v>196</v>
      </c>
      <c r="C59" s="12">
        <f t="shared" si="2"/>
        <v>290.09334330858485</v>
      </c>
      <c r="D59" s="12">
        <f t="shared" si="3"/>
        <v>2.4839528023323969</v>
      </c>
      <c r="E59" s="6">
        <f t="shared" si="5"/>
        <v>-83.788940935260797</v>
      </c>
      <c r="F59" s="12">
        <f t="shared" si="1"/>
        <v>208.78835517565645</v>
      </c>
      <c r="G59" s="12">
        <f t="shared" si="4"/>
        <v>163.54202809873908</v>
      </c>
    </row>
    <row r="60" spans="1:7" x14ac:dyDescent="0.35">
      <c r="A60" s="11">
        <v>19419</v>
      </c>
      <c r="B60" s="6">
        <v>236</v>
      </c>
      <c r="C60" s="12">
        <f t="shared" si="2"/>
        <v>289.37224017172872</v>
      </c>
      <c r="D60" s="12">
        <f t="shared" si="3"/>
        <v>2.483952773468205</v>
      </c>
      <c r="E60" s="6">
        <f t="shared" si="5"/>
        <v>-70.298024576168572</v>
      </c>
      <c r="F60" s="12">
        <f t="shared" si="1"/>
        <v>221.55816836902835</v>
      </c>
      <c r="G60" s="12">
        <f t="shared" si="4"/>
        <v>208.56650085733324</v>
      </c>
    </row>
    <row r="61" spans="1:7" x14ac:dyDescent="0.35">
      <c r="A61" s="11">
        <v>19450</v>
      </c>
      <c r="B61" s="6">
        <v>235</v>
      </c>
      <c r="C61" s="12">
        <f t="shared" si="2"/>
        <v>295.47564811404595</v>
      </c>
      <c r="D61" s="12">
        <f t="shared" si="3"/>
        <v>2.4839528060644067</v>
      </c>
      <c r="E61" s="6">
        <f t="shared" si="5"/>
        <v>-83.05886606007833</v>
      </c>
      <c r="F61" s="12">
        <f t="shared" si="1"/>
        <v>214.900734860032</v>
      </c>
      <c r="G61" s="12">
        <f t="shared" si="4"/>
        <v>403.98045916673277</v>
      </c>
    </row>
    <row r="62" spans="1:7" x14ac:dyDescent="0.35">
      <c r="A62" s="11">
        <v>19480</v>
      </c>
      <c r="B62" s="6">
        <v>229</v>
      </c>
      <c r="C62" s="12">
        <f t="shared" si="2"/>
        <v>302.99693904728451</v>
      </c>
      <c r="D62" s="12">
        <f t="shared" si="3"/>
        <v>2.4839528514298226</v>
      </c>
      <c r="E62" s="6">
        <f t="shared" si="5"/>
        <v>-81.376783930700242</v>
      </c>
      <c r="F62" s="12">
        <f t="shared" si="1"/>
        <v>224.10410796801409</v>
      </c>
      <c r="G62" s="12">
        <f t="shared" si="4"/>
        <v>23.969758788863114</v>
      </c>
    </row>
    <row r="63" spans="1:7" x14ac:dyDescent="0.35">
      <c r="A63" s="11">
        <v>19511</v>
      </c>
      <c r="B63" s="6">
        <v>243</v>
      </c>
      <c r="C63" s="12">
        <f t="shared" si="2"/>
        <v>306.7079150474467</v>
      </c>
      <c r="D63" s="12">
        <f t="shared" si="3"/>
        <v>2.4839528624801859</v>
      </c>
      <c r="E63" s="6">
        <f t="shared" si="5"/>
        <v>-54.074179192469671</v>
      </c>
      <c r="F63" s="12">
        <f t="shared" si="1"/>
        <v>255.11768871745721</v>
      </c>
      <c r="G63" s="12">
        <f t="shared" si="4"/>
        <v>146.83837985318985</v>
      </c>
    </row>
    <row r="64" spans="1:7" x14ac:dyDescent="0.35">
      <c r="A64" s="11">
        <v>19541</v>
      </c>
      <c r="B64" s="6">
        <v>264</v>
      </c>
      <c r="C64" s="12">
        <f t="shared" si="2"/>
        <v>306.15489641049157</v>
      </c>
      <c r="D64" s="12">
        <f t="shared" si="3"/>
        <v>2.4839528351297337</v>
      </c>
      <c r="E64" s="6">
        <f t="shared" si="5"/>
        <v>-46.020190759239192</v>
      </c>
      <c r="F64" s="12">
        <f t="shared" si="1"/>
        <v>262.61865848638212</v>
      </c>
      <c r="G64" s="12">
        <f t="shared" si="4"/>
        <v>1.9081043772441448</v>
      </c>
    </row>
    <row r="65" spans="1:7" x14ac:dyDescent="0.35">
      <c r="A65" s="11">
        <v>19572</v>
      </c>
      <c r="B65" s="6">
        <v>272</v>
      </c>
      <c r="C65" s="12">
        <f t="shared" si="2"/>
        <v>308.98504519978877</v>
      </c>
      <c r="D65" s="12">
        <f t="shared" si="3"/>
        <v>2.4839528382475158</v>
      </c>
      <c r="E65" s="6">
        <f t="shared" si="5"/>
        <v>-40.54952343927777</v>
      </c>
      <c r="F65" s="12">
        <f t="shared" si="1"/>
        <v>270.91947459875848</v>
      </c>
      <c r="G65" s="12">
        <f t="shared" si="4"/>
        <v>1.1675351427281395</v>
      </c>
    </row>
    <row r="66" spans="1:7" x14ac:dyDescent="0.35">
      <c r="A66" s="11">
        <v>19603</v>
      </c>
      <c r="B66" s="6">
        <v>237</v>
      </c>
      <c r="C66" s="12">
        <f t="shared" si="2"/>
        <v>311.73980255567159</v>
      </c>
      <c r="D66" s="12">
        <f t="shared" si="3"/>
        <v>2.4839528406863356</v>
      </c>
      <c r="E66" s="6">
        <f t="shared" si="5"/>
        <v>-74.37147616761375</v>
      </c>
      <c r="F66" s="12">
        <f t="shared" si="1"/>
        <v>239.85227922874418</v>
      </c>
      <c r="G66" s="12">
        <f t="shared" si="4"/>
        <v>8.1354967987254962</v>
      </c>
    </row>
    <row r="67" spans="1:7" x14ac:dyDescent="0.35">
      <c r="A67" s="11">
        <v>19633</v>
      </c>
      <c r="B67" s="6">
        <v>211</v>
      </c>
      <c r="C67" s="12">
        <f t="shared" si="2"/>
        <v>313.50890861921238</v>
      </c>
      <c r="D67" s="12">
        <f t="shared" si="3"/>
        <v>2.4839528342485462</v>
      </c>
      <c r="E67" s="6">
        <f t="shared" si="5"/>
        <v>-94.562817961969145</v>
      </c>
      <c r="F67" s="12">
        <f t="shared" si="1"/>
        <v>221.4300434914918</v>
      </c>
      <c r="G67" s="12">
        <f t="shared" si="4"/>
        <v>108.78580723441048</v>
      </c>
    </row>
    <row r="68" spans="1:7" x14ac:dyDescent="0.35">
      <c r="A68" s="11">
        <v>19664</v>
      </c>
      <c r="B68" s="6">
        <v>180</v>
      </c>
      <c r="C68" s="12">
        <f t="shared" si="2"/>
        <v>313.37885266349275</v>
      </c>
      <c r="D68" s="12">
        <f t="shared" si="3"/>
        <v>2.4839528107072248</v>
      </c>
      <c r="E68" s="6">
        <f t="shared" si="5"/>
        <v>-115.06696422432501</v>
      </c>
      <c r="F68" s="12">
        <f t="shared" si="1"/>
        <v>200.795841249875</v>
      </c>
      <c r="G68" s="12">
        <f t="shared" si="4"/>
        <v>432.46701329000246</v>
      </c>
    </row>
    <row r="69" spans="1:7" x14ac:dyDescent="0.35">
      <c r="A69" s="11">
        <v>19694</v>
      </c>
      <c r="B69" s="6">
        <v>201</v>
      </c>
      <c r="C69" s="12">
        <f t="shared" si="2"/>
        <v>310.65088935263259</v>
      </c>
      <c r="D69" s="12">
        <f t="shared" si="3"/>
        <v>2.4839527637695893</v>
      </c>
      <c r="E69" s="6">
        <f t="shared" si="5"/>
        <v>-94.968577500987507</v>
      </c>
      <c r="F69" s="12">
        <f t="shared" si="1"/>
        <v>218.16626461541466</v>
      </c>
      <c r="G69" s="12">
        <f t="shared" si="4"/>
        <v>294.68064084643748</v>
      </c>
    </row>
    <row r="70" spans="1:7" x14ac:dyDescent="0.35">
      <c r="A70" s="11">
        <v>19725</v>
      </c>
      <c r="B70" s="6">
        <v>204</v>
      </c>
      <c r="C70" s="12">
        <f t="shared" si="2"/>
        <v>308.83258137969312</v>
      </c>
      <c r="D70" s="12">
        <f t="shared" si="3"/>
        <v>2.4839527250241562</v>
      </c>
      <c r="E70" s="6">
        <f t="shared" si="5"/>
        <v>-94.093343308584863</v>
      </c>
      <c r="F70" s="12">
        <f t="shared" si="1"/>
        <v>217.22319079613243</v>
      </c>
      <c r="G70" s="12">
        <f t="shared" si="4"/>
        <v>174.85277483092136</v>
      </c>
    </row>
    <row r="71" spans="1:7" x14ac:dyDescent="0.35">
      <c r="A71" s="11">
        <v>19756</v>
      </c>
      <c r="B71" s="6">
        <v>188</v>
      </c>
      <c r="C71" s="12">
        <f t="shared" si="2"/>
        <v>308.00249835781818</v>
      </c>
      <c r="D71" s="12">
        <f t="shared" si="3"/>
        <v>2.4839526951785107</v>
      </c>
      <c r="E71" s="6">
        <f t="shared" si="5"/>
        <v>-93.372240171728706</v>
      </c>
      <c r="F71" s="12">
        <f t="shared" si="1"/>
        <v>217.11421088126798</v>
      </c>
      <c r="G71" s="12">
        <f t="shared" si="4"/>
        <v>847.63727523894283</v>
      </c>
    </row>
    <row r="72" spans="1:7" x14ac:dyDescent="0.35">
      <c r="A72" s="11">
        <v>19784</v>
      </c>
      <c r="B72" s="6">
        <v>235</v>
      </c>
      <c r="C72" s="12">
        <f t="shared" si="2"/>
        <v>303.18976017930066</v>
      </c>
      <c r="D72" s="12">
        <f t="shared" si="3"/>
        <v>2.4839526294657457</v>
      </c>
      <c r="E72" s="6">
        <f t="shared" si="5"/>
        <v>-59.475648114045931</v>
      </c>
      <c r="F72" s="12">
        <f t="shared" si="1"/>
        <v>246.1980646947205</v>
      </c>
      <c r="G72" s="12">
        <f t="shared" si="4"/>
        <v>125.39665290714574</v>
      </c>
    </row>
    <row r="73" spans="1:7" x14ac:dyDescent="0.35">
      <c r="A73" s="11">
        <v>19815</v>
      </c>
      <c r="B73" s="6">
        <v>227</v>
      </c>
      <c r="C73" s="12">
        <f t="shared" si="2"/>
        <v>302.86722024078148</v>
      </c>
      <c r="D73" s="12">
        <f t="shared" si="3"/>
        <v>2.4839526041909483</v>
      </c>
      <c r="E73" s="6">
        <f t="shared" si="5"/>
        <v>-67.996939047284556</v>
      </c>
      <c r="F73" s="12">
        <f t="shared" si="1"/>
        <v>237.35423379768787</v>
      </c>
      <c r="G73" s="12">
        <f t="shared" si="4"/>
        <v>107.21015753718174</v>
      </c>
    </row>
    <row r="74" spans="1:7" x14ac:dyDescent="0.35">
      <c r="A74" s="11">
        <v>19845</v>
      </c>
      <c r="B74" s="6">
        <v>234</v>
      </c>
      <c r="C74" s="12">
        <f t="shared" si="2"/>
        <v>302.75616370789447</v>
      </c>
      <c r="D74" s="12">
        <f t="shared" si="3"/>
        <v>2.4839525808207346</v>
      </c>
      <c r="E74" s="6">
        <f t="shared" si="5"/>
        <v>-77.707915047446733</v>
      </c>
      <c r="F74" s="12">
        <f t="shared" si="1"/>
        <v>227.5322012412685</v>
      </c>
      <c r="G74" s="12">
        <f t="shared" si="4"/>
        <v>41.832420783448789</v>
      </c>
    </row>
    <row r="75" spans="1:7" x14ac:dyDescent="0.35">
      <c r="A75" s="11">
        <v>19876</v>
      </c>
      <c r="B75" s="6">
        <v>264</v>
      </c>
      <c r="C75" s="12">
        <f t="shared" si="2"/>
        <v>306.86109541702479</v>
      </c>
      <c r="D75" s="12">
        <f t="shared" si="3"/>
        <v>2.4839525954189989</v>
      </c>
      <c r="E75" s="6">
        <f t="shared" si="5"/>
        <v>-63.154896410491602</v>
      </c>
      <c r="F75" s="12">
        <f t="shared" ref="F75:F117" si="6">SUM(C75:E75)</f>
        <v>246.19015160195218</v>
      </c>
      <c r="G75" s="12">
        <f t="shared" si="4"/>
        <v>317.19069996144646</v>
      </c>
    </row>
    <row r="76" spans="1:7" x14ac:dyDescent="0.35">
      <c r="A76" s="11">
        <v>19906</v>
      </c>
      <c r="B76" s="6">
        <v>302</v>
      </c>
      <c r="C76" s="12">
        <f t="shared" ref="C76:C117" si="7">(B75-E75)*$E$2+(C75+D75)*(1-$E$2)</f>
        <v>313.8086056475077</v>
      </c>
      <c r="D76" s="12">
        <f t="shared" ref="D76:D117" si="8">(C76-C75)*$E$3+D75*(1-$E$3)</f>
        <v>2.4839526356170447</v>
      </c>
      <c r="E76" s="6">
        <f t="shared" si="5"/>
        <v>-44.985045199788765</v>
      </c>
      <c r="F76" s="12">
        <f t="shared" si="6"/>
        <v>271.307513083336</v>
      </c>
      <c r="G76" s="12">
        <f t="shared" ref="G76:G117" si="9">(F76-B76)^2</f>
        <v>942.02875312959054</v>
      </c>
    </row>
    <row r="77" spans="1:7" x14ac:dyDescent="0.35">
      <c r="A77" s="11">
        <v>19937</v>
      </c>
      <c r="B77" s="6">
        <v>293</v>
      </c>
      <c r="C77" s="12">
        <f t="shared" si="7"/>
        <v>323.98480143163982</v>
      </c>
      <c r="D77" s="12">
        <f t="shared" si="8"/>
        <v>2.4839527048920869</v>
      </c>
      <c r="E77" s="6">
        <f t="shared" si="5"/>
        <v>-39.739802555671631</v>
      </c>
      <c r="F77" s="12">
        <f t="shared" si="6"/>
        <v>286.72895158086027</v>
      </c>
      <c r="G77" s="12">
        <f t="shared" si="9"/>
        <v>39.326048275194921</v>
      </c>
    </row>
    <row r="78" spans="1:7" x14ac:dyDescent="0.35">
      <c r="A78" s="11">
        <v>19968</v>
      </c>
      <c r="B78" s="6">
        <v>259</v>
      </c>
      <c r="C78" s="12">
        <f t="shared" si="7"/>
        <v>328.04042310448199</v>
      </c>
      <c r="D78" s="12">
        <f t="shared" si="8"/>
        <v>2.4839527190462718</v>
      </c>
      <c r="E78" s="6">
        <f t="shared" si="5"/>
        <v>-76.508908619212377</v>
      </c>
      <c r="F78" s="12">
        <f t="shared" si="6"/>
        <v>254.01546720431588</v>
      </c>
      <c r="G78" s="12">
        <f t="shared" si="9"/>
        <v>24.845567191250524</v>
      </c>
    </row>
    <row r="79" spans="1:7" x14ac:dyDescent="0.35">
      <c r="A79" s="11">
        <v>19998</v>
      </c>
      <c r="B79" s="6">
        <v>229</v>
      </c>
      <c r="C79" s="12">
        <f t="shared" si="7"/>
        <v>331.77361438638098</v>
      </c>
      <c r="D79" s="12">
        <f t="shared" si="8"/>
        <v>2.4839527302967035</v>
      </c>
      <c r="E79" s="6">
        <f t="shared" si="5"/>
        <v>-102.37885266349278</v>
      </c>
      <c r="F79" s="12">
        <f t="shared" si="6"/>
        <v>231.87871445318493</v>
      </c>
      <c r="G79" s="12">
        <f t="shared" si="9"/>
        <v>8.2869969029757904</v>
      </c>
    </row>
    <row r="80" spans="1:7" x14ac:dyDescent="0.35">
      <c r="A80" s="11">
        <v>20029</v>
      </c>
      <c r="B80" s="6">
        <v>203</v>
      </c>
      <c r="C80" s="12">
        <f t="shared" si="7"/>
        <v>333.53609506427711</v>
      </c>
      <c r="D80" s="12">
        <f t="shared" si="8"/>
        <v>2.4839527237992485</v>
      </c>
      <c r="E80" s="6">
        <f t="shared" si="5"/>
        <v>-130.65088935263256</v>
      </c>
      <c r="F80" s="12">
        <f t="shared" si="6"/>
        <v>205.36915843544378</v>
      </c>
      <c r="G80" s="12">
        <f t="shared" si="9"/>
        <v>5.612911692234416</v>
      </c>
    </row>
    <row r="81" spans="1:7" x14ac:dyDescent="0.35">
      <c r="A81" s="11">
        <v>20059</v>
      </c>
      <c r="B81" s="6">
        <v>229</v>
      </c>
      <c r="C81" s="12">
        <f t="shared" si="7"/>
        <v>335.42628219351013</v>
      </c>
      <c r="D81" s="12">
        <f t="shared" si="8"/>
        <v>2.4839527184518961</v>
      </c>
      <c r="E81" s="6">
        <f t="shared" si="5"/>
        <v>-107.83258137969311</v>
      </c>
      <c r="F81" s="12">
        <f t="shared" si="6"/>
        <v>230.07765353226893</v>
      </c>
      <c r="G81" s="12">
        <f t="shared" si="9"/>
        <v>1.1613371356116922</v>
      </c>
    </row>
    <row r="82" spans="1:7" x14ac:dyDescent="0.35">
      <c r="A82" s="11">
        <v>20090</v>
      </c>
      <c r="B82" s="6">
        <v>242</v>
      </c>
      <c r="C82" s="12">
        <f t="shared" si="7"/>
        <v>337.6401501507442</v>
      </c>
      <c r="D82" s="12">
        <f t="shared" si="8"/>
        <v>2.4839527160195587</v>
      </c>
      <c r="E82" s="6">
        <f t="shared" si="5"/>
        <v>-104.00249835781818</v>
      </c>
      <c r="F82" s="12">
        <f t="shared" si="6"/>
        <v>236.12160450894561</v>
      </c>
      <c r="G82" s="12">
        <f t="shared" si="9"/>
        <v>34.555533549248594</v>
      </c>
    </row>
    <row r="83" spans="1:7" x14ac:dyDescent="0.35">
      <c r="A83" s="11">
        <v>20121</v>
      </c>
      <c r="B83" s="6">
        <v>233</v>
      </c>
      <c r="C83" s="12">
        <f t="shared" si="7"/>
        <v>341.59736397991833</v>
      </c>
      <c r="D83" s="12">
        <f t="shared" si="8"/>
        <v>2.4839527292874992</v>
      </c>
      <c r="E83" s="6">
        <f t="shared" si="5"/>
        <v>-115.18976017930066</v>
      </c>
      <c r="F83" s="12">
        <f t="shared" si="6"/>
        <v>228.89155652990519</v>
      </c>
      <c r="G83" s="12">
        <f t="shared" si="9"/>
        <v>16.879307746964702</v>
      </c>
    </row>
    <row r="84" spans="1:7" x14ac:dyDescent="0.35">
      <c r="A84" s="11">
        <v>20149</v>
      </c>
      <c r="B84" s="6">
        <v>267</v>
      </c>
      <c r="C84" s="12">
        <f t="shared" si="7"/>
        <v>345.11098713701142</v>
      </c>
      <c r="D84" s="12">
        <f t="shared" si="8"/>
        <v>2.4839527385605371</v>
      </c>
      <c r="E84" s="6">
        <f t="shared" si="5"/>
        <v>-67.867220240781478</v>
      </c>
      <c r="F84" s="12">
        <f t="shared" si="6"/>
        <v>279.7277196347905</v>
      </c>
      <c r="G84" s="12">
        <f t="shared" si="9"/>
        <v>161.99484710183171</v>
      </c>
    </row>
    <row r="85" spans="1:7" x14ac:dyDescent="0.35">
      <c r="A85" s="11">
        <v>20180</v>
      </c>
      <c r="B85" s="6">
        <v>269</v>
      </c>
      <c r="C85" s="12">
        <f t="shared" si="7"/>
        <v>344.40508059754188</v>
      </c>
      <c r="D85" s="12">
        <f t="shared" si="8"/>
        <v>2.4839527098332033</v>
      </c>
      <c r="E85" s="6">
        <f t="shared" si="5"/>
        <v>-75.756163707894501</v>
      </c>
      <c r="F85" s="12">
        <f t="shared" si="6"/>
        <v>271.13286959948061</v>
      </c>
      <c r="G85" s="12">
        <f t="shared" si="9"/>
        <v>4.5491327283885949</v>
      </c>
    </row>
    <row r="86" spans="1:7" x14ac:dyDescent="0.35">
      <c r="A86" s="11">
        <v>20210</v>
      </c>
      <c r="B86" s="6">
        <v>270</v>
      </c>
      <c r="C86" s="12">
        <f t="shared" si="7"/>
        <v>346.35448712974448</v>
      </c>
      <c r="D86" s="12">
        <f t="shared" si="8"/>
        <v>2.483952705019171</v>
      </c>
      <c r="E86" s="6">
        <f t="shared" si="5"/>
        <v>-72.861095417024785</v>
      </c>
      <c r="F86" s="12">
        <f t="shared" si="6"/>
        <v>275.97734441773889</v>
      </c>
      <c r="G86" s="12">
        <f t="shared" si="9"/>
        <v>35.728646288274284</v>
      </c>
    </row>
    <row r="87" spans="1:7" x14ac:dyDescent="0.35">
      <c r="A87" s="11">
        <v>20241</v>
      </c>
      <c r="B87" s="6">
        <v>315</v>
      </c>
      <c r="C87" s="12">
        <f t="shared" si="7"/>
        <v>347.34037984475668</v>
      </c>
      <c r="D87" s="12">
        <f t="shared" si="8"/>
        <v>2.4839526915278958</v>
      </c>
      <c r="E87" s="6">
        <f t="shared" ref="E87:E117" si="10">$E$4*(B75-C75-D75)+(1-$E$4)*E75</f>
        <v>-49.808605647507726</v>
      </c>
      <c r="F87" s="12">
        <f t="shared" si="6"/>
        <v>300.0157268887769</v>
      </c>
      <c r="G87" s="12">
        <f t="shared" si="9"/>
        <v>224.5284406717237</v>
      </c>
    </row>
    <row r="88" spans="1:7" x14ac:dyDescent="0.35">
      <c r="A88" s="11">
        <v>20271</v>
      </c>
      <c r="B88" s="6">
        <v>364</v>
      </c>
      <c r="C88" s="12">
        <f t="shared" si="7"/>
        <v>353.57973601623866</v>
      </c>
      <c r="D88" s="12">
        <f t="shared" si="8"/>
        <v>2.4839527253484248</v>
      </c>
      <c r="E88" s="6">
        <f t="shared" si="10"/>
        <v>-21.984801431639834</v>
      </c>
      <c r="F88" s="12">
        <f t="shared" si="6"/>
        <v>334.07888730994728</v>
      </c>
      <c r="G88" s="12">
        <f t="shared" si="9"/>
        <v>895.2729846108341</v>
      </c>
    </row>
    <row r="89" spans="1:7" x14ac:dyDescent="0.35">
      <c r="A89" s="11">
        <v>20302</v>
      </c>
      <c r="B89" s="6">
        <v>347</v>
      </c>
      <c r="C89" s="12">
        <f t="shared" si="7"/>
        <v>363.56260776730619</v>
      </c>
      <c r="D89" s="12">
        <f t="shared" si="8"/>
        <v>2.4839527928824223</v>
      </c>
      <c r="E89" s="6">
        <f t="shared" si="10"/>
        <v>-35.040423104481967</v>
      </c>
      <c r="F89" s="12">
        <f t="shared" si="6"/>
        <v>331.00613745570661</v>
      </c>
      <c r="G89" s="12">
        <f t="shared" si="9"/>
        <v>255.80363908575112</v>
      </c>
    </row>
    <row r="90" spans="1:7" x14ac:dyDescent="0.35">
      <c r="A90" s="11">
        <v>20333</v>
      </c>
      <c r="B90" s="6">
        <v>312</v>
      </c>
      <c r="C90" s="12">
        <f t="shared" si="7"/>
        <v>370.054990372627</v>
      </c>
      <c r="D90" s="12">
        <f t="shared" si="8"/>
        <v>2.4839528289816637</v>
      </c>
      <c r="E90" s="6">
        <f t="shared" si="10"/>
        <v>-72.773614386380999</v>
      </c>
      <c r="F90" s="12">
        <f t="shared" si="6"/>
        <v>299.76532881522769</v>
      </c>
      <c r="G90" s="12">
        <f t="shared" si="9"/>
        <v>149.68717899949789</v>
      </c>
    </row>
    <row r="91" spans="1:7" x14ac:dyDescent="0.35">
      <c r="A91" s="11">
        <v>20363</v>
      </c>
      <c r="B91" s="6">
        <v>274</v>
      </c>
      <c r="C91" s="12">
        <f t="shared" si="7"/>
        <v>375.60523319794981</v>
      </c>
      <c r="D91" s="12">
        <f t="shared" si="8"/>
        <v>2.4839528565961535</v>
      </c>
      <c r="E91" s="6">
        <f t="shared" si="10"/>
        <v>-104.53609506427712</v>
      </c>
      <c r="F91" s="12">
        <f t="shared" si="6"/>
        <v>273.55309099026886</v>
      </c>
      <c r="G91" s="12">
        <f t="shared" si="9"/>
        <v>0.19972766297887146</v>
      </c>
    </row>
    <row r="92" spans="1:7" x14ac:dyDescent="0.35">
      <c r="A92" s="11">
        <v>20394</v>
      </c>
      <c r="B92" s="6">
        <v>237</v>
      </c>
      <c r="C92" s="12">
        <f t="shared" si="7"/>
        <v>378.20119173129177</v>
      </c>
      <c r="D92" s="12">
        <f t="shared" si="8"/>
        <v>2.4839528576048577</v>
      </c>
      <c r="E92" s="6">
        <f t="shared" si="10"/>
        <v>-132.42628219351013</v>
      </c>
      <c r="F92" s="12">
        <f t="shared" si="6"/>
        <v>248.25886239538647</v>
      </c>
      <c r="G92" s="12">
        <f t="shared" si="9"/>
        <v>126.76198243824761</v>
      </c>
    </row>
    <row r="93" spans="1:7" x14ac:dyDescent="0.35">
      <c r="A93" s="11">
        <v>20424</v>
      </c>
      <c r="B93" s="6">
        <v>278</v>
      </c>
      <c r="C93" s="12">
        <f t="shared" si="7"/>
        <v>377.86341471877762</v>
      </c>
      <c r="D93" s="12">
        <f t="shared" si="8"/>
        <v>2.4839528321928355</v>
      </c>
      <c r="E93" s="6">
        <f t="shared" si="10"/>
        <v>-108.6401501507442</v>
      </c>
      <c r="F93" s="12">
        <f t="shared" si="6"/>
        <v>271.70721740022623</v>
      </c>
      <c r="G93" s="12">
        <f t="shared" si="9"/>
        <v>39.599112848015565</v>
      </c>
    </row>
    <row r="94" spans="1:7" x14ac:dyDescent="0.35">
      <c r="A94" s="11">
        <v>20455</v>
      </c>
      <c r="B94" s="6">
        <v>284</v>
      </c>
      <c r="C94" s="12">
        <f t="shared" si="7"/>
        <v>381.92448360447355</v>
      </c>
      <c r="D94" s="12">
        <f t="shared" si="8"/>
        <v>2.4839528463960763</v>
      </c>
      <c r="E94" s="6">
        <f t="shared" si="10"/>
        <v>-99.597363979918299</v>
      </c>
      <c r="F94" s="12">
        <f t="shared" si="6"/>
        <v>284.81107247095133</v>
      </c>
      <c r="G94" s="12">
        <f t="shared" si="9"/>
        <v>0.65783855313509709</v>
      </c>
    </row>
    <row r="95" spans="1:7" x14ac:dyDescent="0.35">
      <c r="A95" s="11">
        <v>20486</v>
      </c>
      <c r="B95" s="6">
        <v>277</v>
      </c>
      <c r="C95" s="12">
        <f t="shared" si="7"/>
        <v>384.20516303498238</v>
      </c>
      <c r="D95" s="12">
        <f t="shared" si="8"/>
        <v>2.4839528445654304</v>
      </c>
      <c r="E95" s="6">
        <f t="shared" si="10"/>
        <v>-112.11098713701139</v>
      </c>
      <c r="F95" s="12">
        <f t="shared" si="6"/>
        <v>274.57812874253636</v>
      </c>
      <c r="G95" s="12">
        <f t="shared" si="9"/>
        <v>5.8654603877284917</v>
      </c>
    </row>
    <row r="96" spans="1:7" x14ac:dyDescent="0.35">
      <c r="A96" s="11">
        <v>20515</v>
      </c>
      <c r="B96" s="6">
        <v>317</v>
      </c>
      <c r="C96" s="12">
        <f t="shared" si="7"/>
        <v>387.29609251970703</v>
      </c>
      <c r="D96" s="12">
        <f t="shared" si="8"/>
        <v>2.4839528500317596</v>
      </c>
      <c r="E96" s="6">
        <f t="shared" si="10"/>
        <v>-77.405080597541854</v>
      </c>
      <c r="F96" s="12">
        <f t="shared" si="6"/>
        <v>312.3749647721969</v>
      </c>
      <c r="G96" s="12">
        <f t="shared" si="9"/>
        <v>21.390950858419636</v>
      </c>
    </row>
    <row r="97" spans="1:7" x14ac:dyDescent="0.35">
      <c r="A97" s="11">
        <v>20546</v>
      </c>
      <c r="B97" s="6">
        <v>313</v>
      </c>
      <c r="C97" s="12">
        <f t="shared" si="7"/>
        <v>390.93918557363645</v>
      </c>
      <c r="D97" s="12">
        <f t="shared" si="8"/>
        <v>2.4839528604707803</v>
      </c>
      <c r="E97" s="6">
        <f t="shared" si="10"/>
        <v>-77.354487129744456</v>
      </c>
      <c r="F97" s="12">
        <f t="shared" si="6"/>
        <v>316.06865130436279</v>
      </c>
      <c r="G97" s="12">
        <f t="shared" si="9"/>
        <v>9.4166208277674421</v>
      </c>
    </row>
    <row r="98" spans="1:7" x14ac:dyDescent="0.35">
      <c r="A98" s="11">
        <v>20576</v>
      </c>
      <c r="B98" s="6">
        <v>318</v>
      </c>
      <c r="C98" s="12">
        <f t="shared" si="7"/>
        <v>392.65406383825388</v>
      </c>
      <c r="D98" s="12">
        <f t="shared" si="8"/>
        <v>2.4839528535446247</v>
      </c>
      <c r="E98" s="6">
        <f t="shared" si="10"/>
        <v>-77.340379844756683</v>
      </c>
      <c r="F98" s="12">
        <f t="shared" si="6"/>
        <v>317.79763684704182</v>
      </c>
      <c r="G98" s="12">
        <f t="shared" si="9"/>
        <v>4.0950845675177719E-2</v>
      </c>
    </row>
    <row r="99" spans="1:7" x14ac:dyDescent="0.35">
      <c r="A99" s="11">
        <v>20607</v>
      </c>
      <c r="B99" s="6">
        <v>374</v>
      </c>
      <c r="C99" s="12">
        <f t="shared" si="7"/>
        <v>395.18873355228232</v>
      </c>
      <c r="D99" s="12">
        <f t="shared" si="8"/>
        <v>2.4839528540013722</v>
      </c>
      <c r="E99" s="6">
        <f t="shared" si="10"/>
        <v>-38.579736016238655</v>
      </c>
      <c r="F99" s="12">
        <f t="shared" si="6"/>
        <v>359.09295039004502</v>
      </c>
      <c r="G99" s="12">
        <f t="shared" si="9"/>
        <v>222.22012807365897</v>
      </c>
    </row>
    <row r="100" spans="1:7" x14ac:dyDescent="0.35">
      <c r="A100" s="11">
        <v>20637</v>
      </c>
      <c r="B100" s="6">
        <v>413</v>
      </c>
      <c r="C100" s="12">
        <f t="shared" si="7"/>
        <v>401.4087359006794</v>
      </c>
      <c r="D100" s="12">
        <f t="shared" si="8"/>
        <v>2.4839528876476025</v>
      </c>
      <c r="E100" s="6">
        <f t="shared" si="10"/>
        <v>0.43739223269382688</v>
      </c>
      <c r="F100" s="12">
        <f t="shared" si="6"/>
        <v>404.33008102102082</v>
      </c>
      <c r="G100" s="12">
        <f t="shared" si="9"/>
        <v>75.167495102063441</v>
      </c>
    </row>
    <row r="101" spans="1:7" x14ac:dyDescent="0.35">
      <c r="A101" s="11">
        <v>20668</v>
      </c>
      <c r="B101" s="6">
        <v>405</v>
      </c>
      <c r="C101" s="12">
        <f t="shared" si="7"/>
        <v>406.0655698925957</v>
      </c>
      <c r="D101" s="12">
        <f t="shared" si="8"/>
        <v>2.4839529072162025</v>
      </c>
      <c r="E101" s="6">
        <f t="shared" si="10"/>
        <v>-23.054990372627046</v>
      </c>
      <c r="F101" s="12">
        <f t="shared" si="6"/>
        <v>385.49453242718482</v>
      </c>
      <c r="G101" s="12">
        <f t="shared" si="9"/>
        <v>380.46326523414444</v>
      </c>
    </row>
    <row r="102" spans="1:7" x14ac:dyDescent="0.35">
      <c r="A102" s="11">
        <v>20699</v>
      </c>
      <c r="B102" s="6">
        <v>355</v>
      </c>
      <c r="C102" s="12">
        <f t="shared" si="7"/>
        <v>413.43804159931352</v>
      </c>
      <c r="D102" s="12">
        <f t="shared" si="8"/>
        <v>2.4839529512413767</v>
      </c>
      <c r="E102" s="6">
        <f t="shared" si="10"/>
        <v>-63.605233197949872</v>
      </c>
      <c r="F102" s="12">
        <f t="shared" si="6"/>
        <v>352.316761352605</v>
      </c>
      <c r="G102" s="12">
        <f t="shared" si="9"/>
        <v>7.1997696388741543</v>
      </c>
    </row>
    <row r="103" spans="1:7" x14ac:dyDescent="0.35">
      <c r="A103" s="11">
        <v>20729</v>
      </c>
      <c r="B103" s="6">
        <v>306</v>
      </c>
      <c r="C103" s="12">
        <f t="shared" si="7"/>
        <v>416.59447587008094</v>
      </c>
      <c r="D103" s="12">
        <f t="shared" si="8"/>
        <v>2.48395295729763</v>
      </c>
      <c r="E103" s="6">
        <f t="shared" si="10"/>
        <v>-104.2011917312918</v>
      </c>
      <c r="F103" s="12">
        <f t="shared" si="6"/>
        <v>314.87723709608679</v>
      </c>
      <c r="G103" s="12">
        <f t="shared" si="9"/>
        <v>78.805338460139382</v>
      </c>
    </row>
    <row r="104" spans="1:7" x14ac:dyDescent="0.35">
      <c r="A104" s="11">
        <v>20760</v>
      </c>
      <c r="B104" s="6">
        <v>271</v>
      </c>
      <c r="C104" s="12">
        <f t="shared" si="7"/>
        <v>416.85358903464601</v>
      </c>
      <c r="D104" s="12">
        <f t="shared" si="8"/>
        <v>2.4839529372610989</v>
      </c>
      <c r="E104" s="6">
        <f t="shared" si="10"/>
        <v>-140.86341471877768</v>
      </c>
      <c r="F104" s="12">
        <f t="shared" si="6"/>
        <v>278.47412725312944</v>
      </c>
      <c r="G104" s="12">
        <f t="shared" si="9"/>
        <v>55.862578195972205</v>
      </c>
    </row>
    <row r="105" spans="1:7" x14ac:dyDescent="0.35">
      <c r="A105" s="11">
        <v>20790</v>
      </c>
      <c r="B105" s="6">
        <v>306</v>
      </c>
      <c r="C105" s="12">
        <f t="shared" si="7"/>
        <v>417.46435377734605</v>
      </c>
      <c r="D105" s="12">
        <f t="shared" si="8"/>
        <v>2.4839529203914825</v>
      </c>
      <c r="E105" s="6">
        <f t="shared" si="10"/>
        <v>-103.92448360447355</v>
      </c>
      <c r="F105" s="12">
        <f t="shared" si="6"/>
        <v>316.02382309326396</v>
      </c>
      <c r="G105" s="12">
        <f t="shared" si="9"/>
        <v>100.47702940505179</v>
      </c>
    </row>
    <row r="106" spans="1:7" x14ac:dyDescent="0.35">
      <c r="A106" s="11">
        <v>20821</v>
      </c>
      <c r="B106" s="6">
        <v>315</v>
      </c>
      <c r="C106" s="12">
        <f t="shared" si="7"/>
        <v>417.43610608263441</v>
      </c>
      <c r="D106" s="12">
        <f t="shared" si="8"/>
        <v>2.4839528977670287</v>
      </c>
      <c r="E106" s="6">
        <f t="shared" si="10"/>
        <v>-100.20516303498239</v>
      </c>
      <c r="F106" s="12">
        <f t="shared" si="6"/>
        <v>319.71489594541907</v>
      </c>
      <c r="G106" s="12">
        <f t="shared" si="9"/>
        <v>22.230243776129214</v>
      </c>
    </row>
    <row r="107" spans="1:7" x14ac:dyDescent="0.35">
      <c r="A107" s="11">
        <v>20852</v>
      </c>
      <c r="B107" s="6">
        <v>301</v>
      </c>
      <c r="C107" s="12">
        <f t="shared" si="7"/>
        <v>418.73839761387268</v>
      </c>
      <c r="D107" s="12">
        <f t="shared" si="8"/>
        <v>2.4839528871251861</v>
      </c>
      <c r="E107" s="6">
        <f t="shared" si="10"/>
        <v>-110.29609251970712</v>
      </c>
      <c r="F107" s="12">
        <f t="shared" si="6"/>
        <v>310.92625798129075</v>
      </c>
      <c r="G107" s="12">
        <f t="shared" si="9"/>
        <v>98.530597511138239</v>
      </c>
    </row>
    <row r="108" spans="1:7" x14ac:dyDescent="0.35">
      <c r="A108" s="11">
        <v>20880</v>
      </c>
      <c r="B108" s="6">
        <v>356</v>
      </c>
      <c r="C108" s="12">
        <f t="shared" si="7"/>
        <v>418.73460194695281</v>
      </c>
      <c r="D108" s="12">
        <f t="shared" si="8"/>
        <v>2.4839528647209428</v>
      </c>
      <c r="E108" s="6">
        <f t="shared" si="10"/>
        <v>-73.939185573636479</v>
      </c>
      <c r="F108" s="12">
        <f t="shared" si="6"/>
        <v>347.27936923803725</v>
      </c>
      <c r="G108" s="12">
        <f t="shared" si="9"/>
        <v>76.049400886491057</v>
      </c>
    </row>
    <row r="109" spans="1:7" x14ac:dyDescent="0.35">
      <c r="A109" s="11">
        <v>20911</v>
      </c>
      <c r="B109" s="6">
        <v>348</v>
      </c>
      <c r="C109" s="12">
        <f t="shared" si="7"/>
        <v>423.40414545512914</v>
      </c>
      <c r="D109" s="12">
        <f t="shared" si="8"/>
        <v>2.4839528844040029</v>
      </c>
      <c r="E109" s="6">
        <f t="shared" si="10"/>
        <v>-79.654063838253919</v>
      </c>
      <c r="F109" s="12">
        <f t="shared" si="6"/>
        <v>346.23403450127921</v>
      </c>
      <c r="G109" s="12">
        <f t="shared" si="9"/>
        <v>3.118634142672164</v>
      </c>
    </row>
    <row r="110" spans="1:7" x14ac:dyDescent="0.35">
      <c r="A110" s="11">
        <v>20941</v>
      </c>
      <c r="B110" s="6">
        <v>355</v>
      </c>
      <c r="C110" s="12">
        <f t="shared" si="7"/>
        <v>426.33068991071906</v>
      </c>
      <c r="D110" s="12">
        <f t="shared" si="8"/>
        <v>2.4839528883899078</v>
      </c>
      <c r="E110" s="6">
        <f t="shared" si="10"/>
        <v>-77.188733552282329</v>
      </c>
      <c r="F110" s="12">
        <f t="shared" si="6"/>
        <v>351.62590924682667</v>
      </c>
      <c r="G110" s="12">
        <f t="shared" si="9"/>
        <v>11.384488410649798</v>
      </c>
    </row>
    <row r="111" spans="1:7" x14ac:dyDescent="0.35">
      <c r="A111" s="11">
        <v>20972</v>
      </c>
      <c r="B111" s="6">
        <v>422</v>
      </c>
      <c r="C111" s="12">
        <f t="shared" si="7"/>
        <v>429.66026754594157</v>
      </c>
      <c r="D111" s="12">
        <f t="shared" si="8"/>
        <v>2.4839528960054613</v>
      </c>
      <c r="E111" s="6">
        <f t="shared" si="10"/>
        <v>-27.408735900679432</v>
      </c>
      <c r="F111" s="12">
        <f t="shared" si="6"/>
        <v>404.73548454126762</v>
      </c>
      <c r="G111" s="12">
        <f t="shared" si="9"/>
        <v>298.06349402480919</v>
      </c>
    </row>
    <row r="112" spans="1:7" x14ac:dyDescent="0.35">
      <c r="A112" s="11">
        <v>21002</v>
      </c>
      <c r="B112" s="6">
        <v>465</v>
      </c>
      <c r="C112" s="12">
        <f t="shared" si="7"/>
        <v>436.4711050997609</v>
      </c>
      <c r="D112" s="12">
        <f t="shared" si="8"/>
        <v>2.4839529349726535</v>
      </c>
      <c r="E112" s="6">
        <f t="shared" si="10"/>
        <v>6.9344301074042987</v>
      </c>
      <c r="F112" s="12">
        <f t="shared" si="6"/>
        <v>445.88948814213785</v>
      </c>
      <c r="G112" s="12">
        <f t="shared" si="9"/>
        <v>365.21166346948985</v>
      </c>
    </row>
    <row r="113" spans="1:7" x14ac:dyDescent="0.35">
      <c r="A113" s="11">
        <v>21033</v>
      </c>
      <c r="B113" s="6">
        <v>467</v>
      </c>
      <c r="C113" s="12">
        <f t="shared" si="7"/>
        <v>443.74459184808649</v>
      </c>
      <c r="D113" s="12">
        <f t="shared" si="8"/>
        <v>2.4839529781063856</v>
      </c>
      <c r="E113" s="6">
        <f t="shared" si="10"/>
        <v>-8.4380415993135554</v>
      </c>
      <c r="F113" s="12">
        <f t="shared" si="6"/>
        <v>437.79050322687931</v>
      </c>
      <c r="G113" s="12">
        <f t="shared" si="9"/>
        <v>853.19470173894808</v>
      </c>
    </row>
    <row r="114" spans="1:7" x14ac:dyDescent="0.35">
      <c r="A114" s="11">
        <v>21064</v>
      </c>
      <c r="B114" s="6">
        <v>404</v>
      </c>
      <c r="C114" s="12">
        <f t="shared" si="7"/>
        <v>453.54911653596264</v>
      </c>
      <c r="D114" s="12">
        <f t="shared" si="8"/>
        <v>2.4839530440342177</v>
      </c>
      <c r="E114" s="6">
        <f t="shared" si="10"/>
        <v>-61.59447587008097</v>
      </c>
      <c r="F114" s="12">
        <f t="shared" si="6"/>
        <v>394.43859370991584</v>
      </c>
      <c r="G114" s="12">
        <f t="shared" si="9"/>
        <v>91.420490244061028</v>
      </c>
    </row>
    <row r="115" spans="1:7" x14ac:dyDescent="0.35">
      <c r="A115" s="11">
        <v>21094</v>
      </c>
      <c r="B115" s="6">
        <v>347</v>
      </c>
      <c r="C115" s="12">
        <f t="shared" si="7"/>
        <v>458.42937790863652</v>
      </c>
      <c r="D115" s="12">
        <f t="shared" si="8"/>
        <v>2.4839530656149655</v>
      </c>
      <c r="E115" s="6">
        <f t="shared" si="10"/>
        <v>-110.85358903464602</v>
      </c>
      <c r="F115" s="12">
        <f t="shared" si="6"/>
        <v>350.05974193960549</v>
      </c>
      <c r="G115" s="12">
        <f t="shared" si="9"/>
        <v>9.3620207369807513</v>
      </c>
    </row>
    <row r="116" spans="1:7" x14ac:dyDescent="0.35">
      <c r="A116" s="11">
        <v>21125</v>
      </c>
      <c r="B116" s="6">
        <v>305</v>
      </c>
      <c r="C116" s="12">
        <f t="shared" si="7"/>
        <v>460.14648927012172</v>
      </c>
      <c r="D116" s="12">
        <f t="shared" si="8"/>
        <v>2.4839530587089187</v>
      </c>
      <c r="E116" s="6">
        <f t="shared" si="10"/>
        <v>-146.46435377734605</v>
      </c>
      <c r="F116" s="12">
        <f t="shared" si="6"/>
        <v>316.16608855148456</v>
      </c>
      <c r="G116" s="12">
        <f t="shared" si="9"/>
        <v>124.68153353959462</v>
      </c>
    </row>
    <row r="117" spans="1:7" x14ac:dyDescent="0.35">
      <c r="A117" s="11">
        <v>21155</v>
      </c>
      <c r="B117" s="6">
        <v>336</v>
      </c>
      <c r="C117" s="12">
        <f t="shared" si="7"/>
        <v>459.83196371779184</v>
      </c>
      <c r="D117" s="12">
        <f t="shared" si="8"/>
        <v>2.4839530335062934</v>
      </c>
      <c r="E117" s="6">
        <f t="shared" si="10"/>
        <v>-111.43610608263444</v>
      </c>
      <c r="F117" s="12">
        <f t="shared" si="6"/>
        <v>350.87981066866371</v>
      </c>
      <c r="G117" s="12">
        <f t="shared" si="9"/>
        <v>221.40876553527832</v>
      </c>
    </row>
  </sheetData>
  <mergeCells count="3">
    <mergeCell ref="I14:M24"/>
    <mergeCell ref="I8:J8"/>
    <mergeCell ref="C1:E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8C604-FF21-49E9-82F2-1F43406349EA}">
  <sheetPr codeName="Sheet6">
    <tabColor theme="9"/>
  </sheetPr>
  <dimension ref="A1:P117"/>
  <sheetViews>
    <sheetView workbookViewId="0">
      <selection activeCell="J5" sqref="J5"/>
    </sheetView>
  </sheetViews>
  <sheetFormatPr defaultRowHeight="14.5" x14ac:dyDescent="0.35"/>
  <cols>
    <col min="1" max="1" width="10.453125" style="6" bestFit="1" customWidth="1"/>
    <col min="2" max="2" width="22.36328125" style="6" bestFit="1" customWidth="1"/>
    <col min="3" max="3" width="7.6328125" style="6" bestFit="1" customWidth="1"/>
    <col min="4" max="5" width="17.26953125" style="6" customWidth="1"/>
    <col min="6" max="6" width="7.6328125" style="6" bestFit="1" customWidth="1"/>
    <col min="7" max="7" width="12.54296875" style="6" bestFit="1" customWidth="1"/>
    <col min="8" max="8" width="8.7265625" style="6"/>
    <col min="9" max="9" width="16.7265625" style="6" bestFit="1" customWidth="1"/>
    <col min="10" max="10" width="8.81640625" style="6" bestFit="1" customWidth="1"/>
    <col min="11" max="11" width="12.453125" style="6" customWidth="1"/>
    <col min="12" max="12" width="10.6328125" style="6" bestFit="1" customWidth="1"/>
    <col min="13" max="16384" width="8.7265625" style="6"/>
  </cols>
  <sheetData>
    <row r="1" spans="1:16" ht="15" thickBot="1" x14ac:dyDescent="0.4">
      <c r="C1" s="43" t="s">
        <v>0</v>
      </c>
      <c r="D1" s="43"/>
      <c r="E1" s="43"/>
      <c r="I1" s="8"/>
      <c r="J1" s="8"/>
    </row>
    <row r="2" spans="1:16" ht="15" thickBot="1" x14ac:dyDescent="0.4">
      <c r="D2" s="6" t="s">
        <v>1</v>
      </c>
      <c r="E2" s="3">
        <v>0.22081110000000001</v>
      </c>
      <c r="I2" s="8"/>
      <c r="J2" s="8"/>
    </row>
    <row r="3" spans="1:16" ht="15" thickBot="1" x14ac:dyDescent="0.4">
      <c r="D3" s="6" t="s">
        <v>9</v>
      </c>
      <c r="E3" s="3">
        <v>6.0187999999999997E-11</v>
      </c>
      <c r="H3" s="18"/>
      <c r="I3" s="13"/>
      <c r="J3" s="13"/>
      <c r="K3" s="13"/>
      <c r="L3" s="13"/>
    </row>
    <row r="4" spans="1:16" ht="15" thickBot="1" x14ac:dyDescent="0.4">
      <c r="D4" s="6" t="s">
        <v>10</v>
      </c>
      <c r="E4" s="3">
        <v>0.77918889999999996</v>
      </c>
      <c r="I4" s="14"/>
      <c r="J4" s="14"/>
      <c r="K4" s="13"/>
      <c r="L4" s="13"/>
      <c r="P4" s="7"/>
    </row>
    <row r="5" spans="1:16" ht="15" thickBot="1" x14ac:dyDescent="0.4">
      <c r="D5" s="6" t="s">
        <v>11</v>
      </c>
      <c r="E5" s="4">
        <v>12</v>
      </c>
      <c r="I5" s="14"/>
      <c r="J5" s="14"/>
      <c r="K5" s="13"/>
      <c r="L5" s="13"/>
    </row>
    <row r="6" spans="1:16" x14ac:dyDescent="0.35">
      <c r="H6" s="18"/>
      <c r="I6" s="13"/>
      <c r="J6" s="13"/>
      <c r="K6" s="13"/>
      <c r="L6" s="13"/>
    </row>
    <row r="8" spans="1:16" x14ac:dyDescent="0.35">
      <c r="A8" s="5" t="s">
        <v>2</v>
      </c>
      <c r="B8" s="5" t="s">
        <v>3</v>
      </c>
      <c r="C8" s="5" t="s">
        <v>4</v>
      </c>
      <c r="D8" s="5" t="s">
        <v>5</v>
      </c>
      <c r="E8" s="5" t="s">
        <v>6</v>
      </c>
      <c r="F8" s="5" t="s">
        <v>18</v>
      </c>
      <c r="G8" s="5" t="s">
        <v>7</v>
      </c>
      <c r="I8" s="43" t="s">
        <v>16</v>
      </c>
      <c r="J8" s="43"/>
      <c r="M8" s="7"/>
    </row>
    <row r="9" spans="1:16" ht="15" thickBot="1" x14ac:dyDescent="0.4">
      <c r="A9" s="5"/>
      <c r="B9" s="5"/>
      <c r="C9" s="5"/>
      <c r="D9" s="5"/>
      <c r="E9" s="5"/>
      <c r="F9" s="5"/>
      <c r="G9" s="5"/>
      <c r="I9" s="5"/>
      <c r="J9" s="5"/>
    </row>
    <row r="10" spans="1:16" ht="15" thickBot="1" x14ac:dyDescent="0.4">
      <c r="A10" s="11">
        <v>17899</v>
      </c>
      <c r="B10" s="6">
        <v>112</v>
      </c>
      <c r="C10" s="3">
        <v>160.61956000000001</v>
      </c>
      <c r="D10" s="3">
        <v>1.0092397</v>
      </c>
      <c r="E10" s="1">
        <v>-50.100169999999999</v>
      </c>
      <c r="F10" s="12">
        <f>C10*D10+E10</f>
        <v>112.003466548532</v>
      </c>
      <c r="G10" s="12">
        <f t="shared" ref="G10" si="0">(F10-B10)^2</f>
        <v>1.2016958724734539E-5</v>
      </c>
      <c r="I10" s="9" t="s">
        <v>8</v>
      </c>
      <c r="J10" s="16">
        <f>SUM(G10:G117)</f>
        <v>11406.262632281365</v>
      </c>
      <c r="O10" s="7"/>
    </row>
    <row r="11" spans="1:16" ht="15" thickBot="1" x14ac:dyDescent="0.4">
      <c r="A11" s="11">
        <v>17930</v>
      </c>
      <c r="B11" s="6">
        <v>118</v>
      </c>
      <c r="C11" s="12">
        <f>(B10-E10)*$E$2+(C10*D10)*(1-$E$2)</f>
        <v>162.10287109613742</v>
      </c>
      <c r="D11" s="12">
        <f>(C11/C10)*$E$3+D10*(1-$E$3)</f>
        <v>1.0092396999999997</v>
      </c>
      <c r="E11" s="1">
        <v>-44.394244</v>
      </c>
      <c r="F11" s="12">
        <f t="shared" ref="F11:F74" si="1">C11*D11+E11</f>
        <v>119.20640899420435</v>
      </c>
      <c r="G11" s="12">
        <f>(F11-B11)^2</f>
        <v>1.455422661297157</v>
      </c>
      <c r="O11" s="7"/>
    </row>
    <row r="12" spans="1:16" ht="15" thickBot="1" x14ac:dyDescent="0.4">
      <c r="A12" s="11">
        <v>17958</v>
      </c>
      <c r="B12" s="6">
        <v>132</v>
      </c>
      <c r="C12" s="12">
        <f t="shared" ref="C12:C75" si="2">(B11-E11)*$E$2+(C11*D11)*(1-$E$2)</f>
        <v>163.3342644971442</v>
      </c>
      <c r="D12" s="12">
        <f t="shared" ref="D12:D75" si="3">(C12/C11)*$E$3+D11*(1-$E$3)</f>
        <v>1.0092396999999009</v>
      </c>
      <c r="E12" s="1">
        <v>-31.610427999999999</v>
      </c>
      <c r="F12" s="12">
        <f t="shared" si="1"/>
        <v>133.23299610080227</v>
      </c>
      <c r="G12" s="12">
        <f t="shared" ref="G12:G75" si="4">(F12-B12)^2</f>
        <v>1.5202793845935962</v>
      </c>
      <c r="O12" s="7"/>
    </row>
    <row r="13" spans="1:16" ht="15" thickBot="1" x14ac:dyDescent="0.4">
      <c r="A13" s="11">
        <v>17989</v>
      </c>
      <c r="B13" s="6">
        <v>129</v>
      </c>
      <c r="C13" s="12">
        <f t="shared" si="2"/>
        <v>164.57116487548842</v>
      </c>
      <c r="D13" s="12">
        <f t="shared" si="3"/>
        <v>1.0092396999998006</v>
      </c>
      <c r="E13" s="1">
        <v>-36.309792000000002</v>
      </c>
      <c r="F13" s="12">
        <f t="shared" si="1"/>
        <v>129.78196106755564</v>
      </c>
      <c r="G13" s="12">
        <f t="shared" si="4"/>
        <v>0.61146311117275909</v>
      </c>
      <c r="M13" s="7"/>
      <c r="O13" s="7"/>
    </row>
    <row r="14" spans="1:16" ht="15" thickBot="1" x14ac:dyDescent="0.4">
      <c r="A14" s="11">
        <v>18019</v>
      </c>
      <c r="B14" s="6">
        <v>121</v>
      </c>
      <c r="C14" s="12">
        <f t="shared" si="2"/>
        <v>165.9190873840715</v>
      </c>
      <c r="D14" s="12">
        <f t="shared" si="3"/>
        <v>1.0092396999997375</v>
      </c>
      <c r="E14" s="1">
        <v>-44.721693000000002</v>
      </c>
      <c r="F14" s="12">
        <f t="shared" si="1"/>
        <v>122.73043697573054</v>
      </c>
      <c r="G14" s="12">
        <f t="shared" si="4"/>
        <v>2.9944121269754604</v>
      </c>
      <c r="I14" s="34" t="s">
        <v>19</v>
      </c>
      <c r="J14" s="35"/>
      <c r="K14" s="35"/>
      <c r="L14" s="35"/>
      <c r="M14" s="36"/>
      <c r="O14" s="7"/>
    </row>
    <row r="15" spans="1:16" ht="15" thickBot="1" x14ac:dyDescent="0.4">
      <c r="A15" s="11">
        <v>18050</v>
      </c>
      <c r="B15" s="6">
        <v>135</v>
      </c>
      <c r="C15" s="12">
        <f t="shared" si="2"/>
        <v>167.0700302836388</v>
      </c>
      <c r="D15" s="12">
        <f t="shared" si="3"/>
        <v>1.0092396999995989</v>
      </c>
      <c r="E15" s="1">
        <v>-30.344014999999999</v>
      </c>
      <c r="F15" s="12">
        <f t="shared" si="1"/>
        <v>138.26969224238354</v>
      </c>
      <c r="G15" s="12">
        <f t="shared" si="4"/>
        <v>10.690887359903114</v>
      </c>
      <c r="I15" s="37"/>
      <c r="J15" s="38"/>
      <c r="K15" s="38"/>
      <c r="L15" s="38"/>
      <c r="M15" s="39"/>
      <c r="O15" s="7"/>
    </row>
    <row r="16" spans="1:16" ht="15" thickBot="1" x14ac:dyDescent="0.4">
      <c r="A16" s="11">
        <v>18080</v>
      </c>
      <c r="B16" s="6">
        <v>148</v>
      </c>
      <c r="C16" s="12">
        <f t="shared" si="2"/>
        <v>167.89172290168136</v>
      </c>
      <c r="D16" s="12">
        <f t="shared" si="3"/>
        <v>1.0092396999993389</v>
      </c>
      <c r="E16" s="1">
        <v>-17.911414000000001</v>
      </c>
      <c r="F16" s="12">
        <f t="shared" si="1"/>
        <v>151.53157805366504</v>
      </c>
      <c r="G16" s="12">
        <f t="shared" si="4"/>
        <v>12.472043549128578</v>
      </c>
      <c r="I16" s="37"/>
      <c r="J16" s="38"/>
      <c r="K16" s="38"/>
      <c r="L16" s="38"/>
      <c r="M16" s="39"/>
      <c r="O16" s="7"/>
    </row>
    <row r="17" spans="1:15" ht="15" thickBot="1" x14ac:dyDescent="0.4">
      <c r="A17" s="11">
        <v>18111</v>
      </c>
      <c r="B17" s="6">
        <v>148</v>
      </c>
      <c r="C17" s="12">
        <f t="shared" si="2"/>
        <v>168.6631804188994</v>
      </c>
      <c r="D17" s="12">
        <f t="shared" si="3"/>
        <v>1.0092396999990594</v>
      </c>
      <c r="E17" s="1">
        <v>-19.976696</v>
      </c>
      <c r="F17" s="12">
        <f t="shared" si="1"/>
        <v>150.24488160685726</v>
      </c>
      <c r="G17" s="12">
        <f t="shared" si="4"/>
        <v>5.0394934288060451</v>
      </c>
      <c r="I17" s="37"/>
      <c r="J17" s="38"/>
      <c r="K17" s="38"/>
      <c r="L17" s="38"/>
      <c r="M17" s="39"/>
      <c r="O17" s="7"/>
    </row>
    <row r="18" spans="1:15" ht="15" thickBot="1" x14ac:dyDescent="0.4">
      <c r="A18" s="11">
        <v>18142</v>
      </c>
      <c r="B18" s="6">
        <v>136</v>
      </c>
      <c r="C18" s="12">
        <f t="shared" si="2"/>
        <v>169.72588282987735</v>
      </c>
      <c r="D18" s="12">
        <f t="shared" si="3"/>
        <v>1.0092396999988826</v>
      </c>
      <c r="E18" s="1">
        <v>-33.851345999999999</v>
      </c>
      <c r="F18" s="12">
        <f t="shared" si="1"/>
        <v>137.44275306927091</v>
      </c>
      <c r="G18" s="12">
        <f t="shared" si="4"/>
        <v>2.0815364188906225</v>
      </c>
      <c r="I18" s="37"/>
      <c r="J18" s="38"/>
      <c r="K18" s="38"/>
      <c r="L18" s="38"/>
      <c r="M18" s="39"/>
      <c r="O18" s="7"/>
    </row>
    <row r="19" spans="1:15" ht="15" thickBot="1" x14ac:dyDescent="0.4">
      <c r="A19" s="11">
        <v>18172</v>
      </c>
      <c r="B19" s="6">
        <v>119</v>
      </c>
      <c r="C19" s="12">
        <f t="shared" si="2"/>
        <v>170.97552317701684</v>
      </c>
      <c r="D19" s="12">
        <f t="shared" si="3"/>
        <v>1.0092396999987696</v>
      </c>
      <c r="E19" s="1">
        <v>-52.520749000000002</v>
      </c>
      <c r="F19" s="12">
        <f t="shared" si="1"/>
        <v>120.03453671830516</v>
      </c>
      <c r="G19" s="12">
        <f t="shared" si="4"/>
        <v>1.0702662215216143</v>
      </c>
      <c r="I19" s="37"/>
      <c r="J19" s="38"/>
      <c r="K19" s="38"/>
      <c r="L19" s="38"/>
      <c r="M19" s="39"/>
      <c r="O19" s="7"/>
    </row>
    <row r="20" spans="1:15" ht="15" thickBot="1" x14ac:dyDescent="0.4">
      <c r="A20" s="11">
        <v>18203</v>
      </c>
      <c r="B20" s="6">
        <v>104</v>
      </c>
      <c r="C20" s="12">
        <f t="shared" si="2"/>
        <v>172.32684852754579</v>
      </c>
      <c r="D20" s="12">
        <f t="shared" si="3"/>
        <v>1.0092396999986892</v>
      </c>
      <c r="E20" s="1">
        <v>-67.180779000000001</v>
      </c>
      <c r="F20" s="12">
        <f t="shared" si="1"/>
        <v>106.73831790965988</v>
      </c>
      <c r="G20" s="12">
        <f t="shared" si="4"/>
        <v>7.4983849743640754</v>
      </c>
      <c r="I20" s="37"/>
      <c r="J20" s="38"/>
      <c r="K20" s="38"/>
      <c r="L20" s="38"/>
      <c r="M20" s="39"/>
      <c r="O20" s="7"/>
    </row>
    <row r="21" spans="1:15" ht="15" thickBot="1" x14ac:dyDescent="0.4">
      <c r="A21" s="11">
        <v>18233</v>
      </c>
      <c r="B21" s="6">
        <v>118</v>
      </c>
      <c r="C21" s="12">
        <f t="shared" si="2"/>
        <v>173.31444591987818</v>
      </c>
      <c r="D21" s="12">
        <f t="shared" si="3"/>
        <v>1.0092396999984781</v>
      </c>
      <c r="E21" s="1">
        <v>-51.204101000000001</v>
      </c>
      <c r="F21" s="12">
        <f t="shared" si="1"/>
        <v>123.71171840558029</v>
      </c>
      <c r="G21" s="12">
        <f t="shared" si="4"/>
        <v>32.623727144644597</v>
      </c>
      <c r="I21" s="37"/>
      <c r="J21" s="38"/>
      <c r="K21" s="38"/>
      <c r="L21" s="38"/>
      <c r="M21" s="39"/>
    </row>
    <row r="22" spans="1:15" x14ac:dyDescent="0.35">
      <c r="A22" s="11">
        <v>18264</v>
      </c>
      <c r="B22" s="6">
        <v>115</v>
      </c>
      <c r="C22" s="12">
        <f t="shared" si="2"/>
        <v>173.65460858155387</v>
      </c>
      <c r="D22" s="12">
        <f t="shared" si="3"/>
        <v>1.0092396999980402</v>
      </c>
      <c r="E22" s="15">
        <f>$E$4*(B10-C10*D10)+(1-$E$4)*E10</f>
        <v>-50.102871096137441</v>
      </c>
      <c r="F22" s="12">
        <f t="shared" si="1"/>
        <v>125.15625397198707</v>
      </c>
      <c r="G22" s="12">
        <f t="shared" si="4"/>
        <v>103.14949474350314</v>
      </c>
      <c r="I22" s="37"/>
      <c r="J22" s="38"/>
      <c r="K22" s="38"/>
      <c r="L22" s="38"/>
      <c r="M22" s="39"/>
    </row>
    <row r="23" spans="1:15" x14ac:dyDescent="0.35">
      <c r="A23" s="11">
        <v>18295</v>
      </c>
      <c r="B23" s="6">
        <v>126</v>
      </c>
      <c r="C23" s="12">
        <f t="shared" si="2"/>
        <v>173.01651145669069</v>
      </c>
      <c r="D23" s="12">
        <f t="shared" si="3"/>
        <v>1.009239699997263</v>
      </c>
      <c r="E23" s="6">
        <f t="shared" ref="E23:E86" si="5">$E$4*(B11-C11*D11)+(1-$E$4)*E11</f>
        <v>-45.334264497144197</v>
      </c>
      <c r="F23" s="12">
        <f t="shared" si="1"/>
        <v>129.28086761997935</v>
      </c>
      <c r="G23" s="12">
        <f t="shared" si="4"/>
        <v>10.764092339828943</v>
      </c>
      <c r="I23" s="37"/>
      <c r="J23" s="38"/>
      <c r="K23" s="38"/>
      <c r="L23" s="38"/>
      <c r="M23" s="39"/>
    </row>
    <row r="24" spans="1:15" ht="15" thickBot="1" x14ac:dyDescent="0.4">
      <c r="A24" s="11">
        <v>18323</v>
      </c>
      <c r="B24" s="6">
        <v>141</v>
      </c>
      <c r="C24" s="12">
        <f t="shared" si="2"/>
        <v>173.89068012900151</v>
      </c>
      <c r="D24" s="12">
        <f t="shared" si="3"/>
        <v>1.009239699997011</v>
      </c>
      <c r="E24" s="6">
        <f t="shared" si="5"/>
        <v>-32.571164875488421</v>
      </c>
      <c r="F24" s="12">
        <f t="shared" si="1"/>
        <v>142.92621297018127</v>
      </c>
      <c r="G24" s="12">
        <f t="shared" si="4"/>
        <v>3.7102964064945434</v>
      </c>
      <c r="I24" s="40"/>
      <c r="J24" s="41"/>
      <c r="K24" s="41"/>
      <c r="L24" s="41"/>
      <c r="M24" s="42"/>
    </row>
    <row r="25" spans="1:15" x14ac:dyDescent="0.35">
      <c r="A25" s="11">
        <v>18354</v>
      </c>
      <c r="B25" s="6">
        <v>135</v>
      </c>
      <c r="C25" s="12">
        <f t="shared" si="2"/>
        <v>175.0720486408897</v>
      </c>
      <c r="D25" s="12">
        <f t="shared" si="3"/>
        <v>1.0092396999968638</v>
      </c>
      <c r="E25" s="6">
        <f t="shared" si="5"/>
        <v>-36.919087384071517</v>
      </c>
      <c r="F25" s="12">
        <f t="shared" si="1"/>
        <v>139.77057446409634</v>
      </c>
      <c r="G25" s="12">
        <f t="shared" si="4"/>
        <v>22.758380717488098</v>
      </c>
    </row>
    <row r="26" spans="1:15" x14ac:dyDescent="0.35">
      <c r="A26" s="11">
        <v>18384</v>
      </c>
      <c r="B26" s="6">
        <v>125</v>
      </c>
      <c r="C26" s="12">
        <f t="shared" si="2"/>
        <v>175.63626605311885</v>
      </c>
      <c r="D26" s="12">
        <f t="shared" si="3"/>
        <v>1.0092396999965016</v>
      </c>
      <c r="E26" s="6">
        <f t="shared" si="5"/>
        <v>-46.070030283638808</v>
      </c>
      <c r="F26" s="12">
        <f t="shared" si="1"/>
        <v>131.18906217631661</v>
      </c>
      <c r="G26" s="12">
        <f t="shared" si="4"/>
        <v>38.304490622312905</v>
      </c>
    </row>
    <row r="27" spans="1:15" x14ac:dyDescent="0.35">
      <c r="A27" s="11">
        <v>18415</v>
      </c>
      <c r="B27" s="6">
        <v>149</v>
      </c>
      <c r="C27" s="12">
        <f t="shared" si="2"/>
        <v>175.89247883283454</v>
      </c>
      <c r="D27" s="12">
        <f t="shared" si="3"/>
        <v>1.0092396999960334</v>
      </c>
      <c r="E27" s="6">
        <f t="shared" si="5"/>
        <v>-32.891722901681348</v>
      </c>
      <c r="F27" s="12">
        <f t="shared" si="1"/>
        <v>144.62594966712726</v>
      </c>
      <c r="G27" s="12">
        <f t="shared" si="4"/>
        <v>19.132316314504141</v>
      </c>
    </row>
    <row r="28" spans="1:15" x14ac:dyDescent="0.35">
      <c r="A28" s="11">
        <v>18445</v>
      </c>
      <c r="B28" s="6">
        <v>170</v>
      </c>
      <c r="C28" s="12">
        <f t="shared" si="2"/>
        <v>178.48351143426558</v>
      </c>
      <c r="D28" s="12">
        <f t="shared" si="3"/>
        <v>1.009239699996364</v>
      </c>
      <c r="E28" s="6">
        <f t="shared" si="5"/>
        <v>-20.663180418899415</v>
      </c>
      <c r="F28" s="12">
        <f t="shared" si="1"/>
        <v>159.46946511531638</v>
      </c>
      <c r="G28" s="12">
        <f t="shared" si="4"/>
        <v>110.89216495753863</v>
      </c>
    </row>
    <row r="29" spans="1:15" x14ac:dyDescent="0.35">
      <c r="A29" s="11">
        <v>18476</v>
      </c>
      <c r="B29" s="6">
        <v>170</v>
      </c>
      <c r="C29" s="12">
        <f t="shared" si="2"/>
        <v>182.45790452569113</v>
      </c>
      <c r="D29" s="12">
        <f t="shared" si="3"/>
        <v>1.0092396999971482</v>
      </c>
      <c r="E29" s="6">
        <f t="shared" si="5"/>
        <v>-21.725882829877346</v>
      </c>
      <c r="F29" s="12">
        <f t="shared" si="1"/>
        <v>162.41787799573947</v>
      </c>
      <c r="G29" s="12">
        <f t="shared" si="4"/>
        <v>57.488574087491656</v>
      </c>
    </row>
    <row r="30" spans="1:15" x14ac:dyDescent="0.35">
      <c r="A30" s="11">
        <v>18507</v>
      </c>
      <c r="B30" s="6">
        <v>158</v>
      </c>
      <c r="C30" s="12">
        <f t="shared" si="2"/>
        <v>185.8179775257118</v>
      </c>
      <c r="D30" s="12">
        <f t="shared" si="3"/>
        <v>1.0092396999977005</v>
      </c>
      <c r="E30" s="6">
        <f t="shared" si="5"/>
        <v>-34.975523177016825</v>
      </c>
      <c r="F30" s="12">
        <f t="shared" si="1"/>
        <v>152.559356715212</v>
      </c>
      <c r="G30" s="12">
        <f t="shared" si="4"/>
        <v>29.600599352308709</v>
      </c>
    </row>
    <row r="31" spans="1:15" x14ac:dyDescent="0.35">
      <c r="A31" s="11">
        <v>18537</v>
      </c>
      <c r="B31" s="6">
        <v>133</v>
      </c>
      <c r="C31" s="12">
        <f t="shared" si="2"/>
        <v>188.73623432065048</v>
      </c>
      <c r="D31" s="12">
        <f t="shared" si="3"/>
        <v>1.0092396999980897</v>
      </c>
      <c r="E31" s="6">
        <f t="shared" si="5"/>
        <v>-53.326848527545806</v>
      </c>
      <c r="F31" s="12">
        <f t="shared" si="1"/>
        <v>137.15325197699667</v>
      </c>
      <c r="G31" s="12">
        <f t="shared" si="4"/>
        <v>17.249501984426757</v>
      </c>
    </row>
    <row r="32" spans="1:15" x14ac:dyDescent="0.35">
      <c r="A32" s="11">
        <v>18568</v>
      </c>
      <c r="B32" s="6">
        <v>114</v>
      </c>
      <c r="C32" s="12">
        <f t="shared" si="2"/>
        <v>189.56301636692464</v>
      </c>
      <c r="D32" s="12">
        <f t="shared" si="3"/>
        <v>1.0092396999977973</v>
      </c>
      <c r="E32" s="6">
        <f t="shared" si="5"/>
        <v>-69.314445919878182</v>
      </c>
      <c r="F32" s="12">
        <f t="shared" si="1"/>
        <v>122.00007584895437</v>
      </c>
      <c r="G32" s="12">
        <f t="shared" si="4"/>
        <v>64.001213589022939</v>
      </c>
    </row>
    <row r="33" spans="1:7" x14ac:dyDescent="0.35">
      <c r="A33" s="11">
        <v>18598</v>
      </c>
      <c r="B33" s="6">
        <v>140</v>
      </c>
      <c r="C33" s="12">
        <f t="shared" si="2"/>
        <v>189.54801622054151</v>
      </c>
      <c r="D33" s="12">
        <f t="shared" si="3"/>
        <v>1.0092396999972364</v>
      </c>
      <c r="E33" s="6">
        <f t="shared" si="5"/>
        <v>-55.654608581553859</v>
      </c>
      <c r="F33" s="12">
        <f t="shared" si="1"/>
        <v>135.64477444393674</v>
      </c>
      <c r="G33" s="12">
        <f t="shared" si="4"/>
        <v>18.967989644186535</v>
      </c>
    </row>
    <row r="34" spans="1:7" x14ac:dyDescent="0.35">
      <c r="A34" s="11">
        <v>18629</v>
      </c>
      <c r="B34" s="6">
        <v>145</v>
      </c>
      <c r="C34" s="12">
        <f t="shared" si="2"/>
        <v>192.26106517127303</v>
      </c>
      <c r="D34" s="12">
        <f t="shared" si="3"/>
        <v>1.0092396999975417</v>
      </c>
      <c r="E34" s="6">
        <f t="shared" si="5"/>
        <v>-58.016511456690679</v>
      </c>
      <c r="F34" s="12">
        <f t="shared" si="1"/>
        <v>136.02098827797272</v>
      </c>
      <c r="G34" s="12">
        <f t="shared" si="4"/>
        <v>80.622651504303306</v>
      </c>
    </row>
    <row r="35" spans="1:7" x14ac:dyDescent="0.35">
      <c r="A35" s="11">
        <v>18660</v>
      </c>
      <c r="B35" s="6">
        <v>150</v>
      </c>
      <c r="C35" s="12">
        <f t="shared" si="2"/>
        <v>196.02016518991712</v>
      </c>
      <c r="D35" s="12">
        <f t="shared" si="3"/>
        <v>1.0092396999981623</v>
      </c>
      <c r="E35" s="6">
        <f t="shared" si="5"/>
        <v>-47.890680129001524</v>
      </c>
      <c r="F35" s="12">
        <f t="shared" si="1"/>
        <v>149.94065258086067</v>
      </c>
      <c r="G35" s="12">
        <f t="shared" si="4"/>
        <v>3.5221161584991223E-3</v>
      </c>
    </row>
    <row r="36" spans="1:7" x14ac:dyDescent="0.35">
      <c r="A36" s="11">
        <v>18688</v>
      </c>
      <c r="B36" s="6">
        <v>178</v>
      </c>
      <c r="C36" s="12">
        <f t="shared" si="2"/>
        <v>197.8444372787645</v>
      </c>
      <c r="D36" s="12">
        <f t="shared" si="3"/>
        <v>1.0092396999981663</v>
      </c>
      <c r="E36" s="6">
        <f t="shared" si="5"/>
        <v>-34.072048640889697</v>
      </c>
      <c r="F36" s="12">
        <f t="shared" si="1"/>
        <v>165.60041188463663</v>
      </c>
      <c r="G36" s="12">
        <f t="shared" si="4"/>
        <v>153.74978543066058</v>
      </c>
    </row>
    <row r="37" spans="1:7" x14ac:dyDescent="0.35">
      <c r="A37" s="11">
        <v>18719</v>
      </c>
      <c r="B37" s="6">
        <v>163</v>
      </c>
      <c r="C37" s="12">
        <f t="shared" si="2"/>
        <v>202.41042721682663</v>
      </c>
      <c r="D37" s="12">
        <f t="shared" si="3"/>
        <v>1.0092396999989992</v>
      </c>
      <c r="E37" s="6">
        <f t="shared" si="5"/>
        <v>-40.636266053118845</v>
      </c>
      <c r="F37" s="12">
        <f t="shared" si="1"/>
        <v>163.64437278786053</v>
      </c>
      <c r="G37" s="12">
        <f t="shared" si="4"/>
        <v>0.41521628973515545</v>
      </c>
    </row>
    <row r="38" spans="1:7" x14ac:dyDescent="0.35">
      <c r="A38" s="11">
        <v>18749</v>
      </c>
      <c r="B38" s="6">
        <v>172</v>
      </c>
      <c r="C38" s="12">
        <f t="shared" si="2"/>
        <v>204.13835417688182</v>
      </c>
      <c r="D38" s="12">
        <f t="shared" si="3"/>
        <v>1.009239699998957</v>
      </c>
      <c r="E38" s="6">
        <f t="shared" si="5"/>
        <v>-50.892478832834549</v>
      </c>
      <c r="F38" s="12">
        <f t="shared" si="1"/>
        <v>155.1320524949225</v>
      </c>
      <c r="G38" s="12">
        <f t="shared" si="4"/>
        <v>284.5276530340501</v>
      </c>
    </row>
    <row r="39" spans="1:7" x14ac:dyDescent="0.35">
      <c r="A39" s="11">
        <v>18780</v>
      </c>
      <c r="B39" s="6">
        <v>178</v>
      </c>
      <c r="C39" s="12">
        <f t="shared" si="2"/>
        <v>209.74916137109545</v>
      </c>
      <c r="D39" s="12">
        <f t="shared" si="3"/>
        <v>1.0092397000000553</v>
      </c>
      <c r="E39" s="6">
        <f t="shared" si="5"/>
        <v>-29.483511434265591</v>
      </c>
      <c r="F39" s="12">
        <f t="shared" si="1"/>
        <v>182.20366926316197</v>
      </c>
      <c r="G39" s="12">
        <f t="shared" si="4"/>
        <v>17.670835274052699</v>
      </c>
    </row>
    <row r="40" spans="1:7" x14ac:dyDescent="0.35">
      <c r="A40" s="11">
        <v>18810</v>
      </c>
      <c r="B40" s="6">
        <v>199</v>
      </c>
      <c r="C40" s="12">
        <f t="shared" si="2"/>
        <v>210.75896386339258</v>
      </c>
      <c r="D40" s="12">
        <f t="shared" si="3"/>
        <v>1.009239699999789</v>
      </c>
      <c r="E40" s="6">
        <f t="shared" si="5"/>
        <v>-12.457904525691148</v>
      </c>
      <c r="F40" s="12">
        <f t="shared" si="1"/>
        <v>200.24840893606557</v>
      </c>
      <c r="G40" s="12">
        <f t="shared" si="4"/>
        <v>1.5585248716483759</v>
      </c>
    </row>
    <row r="41" spans="1:7" x14ac:dyDescent="0.35">
      <c r="A41" s="11">
        <v>18841</v>
      </c>
      <c r="B41" s="6">
        <v>199</v>
      </c>
      <c r="C41" s="12">
        <f t="shared" si="2"/>
        <v>212.43065091133425</v>
      </c>
      <c r="D41" s="12">
        <f t="shared" si="3"/>
        <v>1.0092396999997104</v>
      </c>
      <c r="E41" s="6">
        <f t="shared" si="5"/>
        <v>-15.817977525711795</v>
      </c>
      <c r="F41" s="12">
        <f t="shared" si="1"/>
        <v>198.57546887078641</v>
      </c>
      <c r="G41" s="12">
        <f t="shared" si="4"/>
        <v>0.18022667967136663</v>
      </c>
    </row>
    <row r="42" spans="1:7" x14ac:dyDescent="0.35">
      <c r="A42" s="11">
        <v>18872</v>
      </c>
      <c r="B42" s="6">
        <v>184</v>
      </c>
      <c r="C42" s="12">
        <f t="shared" si="2"/>
        <v>214.48718758212411</v>
      </c>
      <c r="D42" s="12">
        <f t="shared" si="3"/>
        <v>1.0092396999997371</v>
      </c>
      <c r="E42" s="6">
        <f t="shared" si="5"/>
        <v>-30.736234320650471</v>
      </c>
      <c r="F42" s="12">
        <f t="shared" si="1"/>
        <v>185.73275052851977</v>
      </c>
      <c r="G42" s="12">
        <f t="shared" si="4"/>
        <v>3.0024243940855531</v>
      </c>
    </row>
    <row r="43" spans="1:7" x14ac:dyDescent="0.35">
      <c r="A43" s="11">
        <v>18902</v>
      </c>
      <c r="B43" s="6">
        <v>162</v>
      </c>
      <c r="C43" s="12">
        <f t="shared" si="2"/>
        <v>216.08637429894225</v>
      </c>
      <c r="D43" s="12">
        <f t="shared" si="3"/>
        <v>1.0092396999996298</v>
      </c>
      <c r="E43" s="6">
        <f t="shared" si="5"/>
        <v>-56.563016366924657</v>
      </c>
      <c r="F43" s="12">
        <f t="shared" si="1"/>
        <v>161.51993120454756</v>
      </c>
      <c r="G43" s="12">
        <f t="shared" si="4"/>
        <v>0.2304660483671559</v>
      </c>
    </row>
    <row r="44" spans="1:7" x14ac:dyDescent="0.35">
      <c r="A44" s="11">
        <v>18933</v>
      </c>
      <c r="B44" s="6">
        <v>146</v>
      </c>
      <c r="C44" s="12">
        <f t="shared" si="2"/>
        <v>218.18895209027175</v>
      </c>
      <c r="D44" s="12">
        <f t="shared" si="3"/>
        <v>1.0092396999996593</v>
      </c>
      <c r="E44" s="6">
        <f t="shared" si="5"/>
        <v>-75.548016220541498</v>
      </c>
      <c r="F44" s="12">
        <f t="shared" si="1"/>
        <v>144.6569363302844</v>
      </c>
      <c r="G44" s="12">
        <f t="shared" si="4"/>
        <v>1.8038200209099469</v>
      </c>
    </row>
    <row r="45" spans="1:7" x14ac:dyDescent="0.35">
      <c r="A45" s="11">
        <v>18963</v>
      </c>
      <c r="B45" s="6">
        <v>166</v>
      </c>
      <c r="C45" s="12">
        <f t="shared" si="2"/>
        <v>220.50151591710585</v>
      </c>
      <c r="D45" s="12">
        <f t="shared" si="3"/>
        <v>1.0092396999997413</v>
      </c>
      <c r="E45" s="6">
        <f t="shared" si="5"/>
        <v>-52.261065171273046</v>
      </c>
      <c r="F45" s="12">
        <f t="shared" si="1"/>
        <v>170.27781860239503</v>
      </c>
      <c r="G45" s="12">
        <f t="shared" si="4"/>
        <v>18.299731994996964</v>
      </c>
    </row>
    <row r="46" spans="1:7" x14ac:dyDescent="0.35">
      <c r="A46" s="11">
        <v>18994</v>
      </c>
      <c r="B46" s="6">
        <v>171</v>
      </c>
      <c r="C46" s="12">
        <f t="shared" si="2"/>
        <v>221.59429394247277</v>
      </c>
      <c r="D46" s="12">
        <f t="shared" si="3"/>
        <v>1.0092396999994835</v>
      </c>
      <c r="E46" s="6">
        <f t="shared" si="5"/>
        <v>-51.020165189917151</v>
      </c>
      <c r="F46" s="12">
        <f t="shared" si="1"/>
        <v>172.62159355018144</v>
      </c>
      <c r="G46" s="12">
        <f t="shared" si="4"/>
        <v>2.6295656419900602</v>
      </c>
    </row>
    <row r="47" spans="1:7" x14ac:dyDescent="0.35">
      <c r="A47" s="11">
        <v>19025</v>
      </c>
      <c r="B47" s="6">
        <v>180</v>
      </c>
      <c r="C47" s="12">
        <f t="shared" si="2"/>
        <v>223.28369288453013</v>
      </c>
      <c r="D47" s="12">
        <f t="shared" si="3"/>
        <v>1.0092396999993862</v>
      </c>
      <c r="E47" s="6">
        <f t="shared" si="5"/>
        <v>-47.844437278764502</v>
      </c>
      <c r="F47" s="12">
        <f t="shared" si="1"/>
        <v>177.50232994277377</v>
      </c>
      <c r="G47" s="12">
        <f t="shared" si="4"/>
        <v>6.2383557147644799</v>
      </c>
    </row>
    <row r="48" spans="1:7" x14ac:dyDescent="0.35">
      <c r="A48" s="11">
        <v>19054</v>
      </c>
      <c r="B48" s="6">
        <v>193</v>
      </c>
      <c r="C48" s="12">
        <f t="shared" si="2"/>
        <v>225.89828049431145</v>
      </c>
      <c r="D48" s="12">
        <f t="shared" si="3"/>
        <v>1.009239699999535</v>
      </c>
      <c r="E48" s="6">
        <f t="shared" si="5"/>
        <v>-24.410427216826644</v>
      </c>
      <c r="F48" s="12">
        <f t="shared" si="1"/>
        <v>203.57508561966307</v>
      </c>
      <c r="G48" s="12">
        <f t="shared" si="4"/>
        <v>111.83243586320467</v>
      </c>
    </row>
    <row r="49" spans="1:7" x14ac:dyDescent="0.35">
      <c r="A49" s="11">
        <v>19085</v>
      </c>
      <c r="B49" s="6">
        <v>181</v>
      </c>
      <c r="C49" s="12">
        <f t="shared" si="2"/>
        <v>225.65041654821772</v>
      </c>
      <c r="D49" s="12">
        <f t="shared" si="3"/>
        <v>1.0092396999989128</v>
      </c>
      <c r="E49" s="6">
        <f t="shared" si="5"/>
        <v>-41.138354176881833</v>
      </c>
      <c r="F49" s="12">
        <f t="shared" si="1"/>
        <v>186.59700452487112</v>
      </c>
      <c r="G49" s="12">
        <f t="shared" si="4"/>
        <v>31.326459651427843</v>
      </c>
    </row>
    <row r="50" spans="1:7" x14ac:dyDescent="0.35">
      <c r="A50" s="11">
        <v>19115</v>
      </c>
      <c r="B50" s="6">
        <v>183</v>
      </c>
      <c r="C50" s="12">
        <f t="shared" si="2"/>
        <v>226.49947797591119</v>
      </c>
      <c r="D50" s="12">
        <f t="shared" si="3"/>
        <v>1.0092396999985833</v>
      </c>
      <c r="E50" s="6">
        <f t="shared" si="5"/>
        <v>-37.749161371095468</v>
      </c>
      <c r="F50" s="12">
        <f t="shared" si="1"/>
        <v>190.84310383114888</v>
      </c>
      <c r="G50" s="12">
        <f t="shared" si="4"/>
        <v>61.514277706182249</v>
      </c>
    </row>
    <row r="51" spans="1:7" x14ac:dyDescent="0.35">
      <c r="A51" s="11">
        <v>19146</v>
      </c>
      <c r="B51" s="6">
        <v>218</v>
      </c>
      <c r="C51" s="12">
        <f t="shared" si="2"/>
        <v>226.86042081787414</v>
      </c>
      <c r="D51" s="12">
        <f t="shared" si="3"/>
        <v>1.0092396999981232</v>
      </c>
      <c r="E51" s="6">
        <f t="shared" si="5"/>
        <v>-32.758963863392566</v>
      </c>
      <c r="F51" s="12">
        <f t="shared" si="1"/>
        <v>196.19757918428672</v>
      </c>
      <c r="G51" s="12">
        <f t="shared" si="4"/>
        <v>475.34555342544758</v>
      </c>
    </row>
    <row r="52" spans="1:7" x14ac:dyDescent="0.35">
      <c r="A52" s="11">
        <v>19176</v>
      </c>
      <c r="B52" s="6">
        <v>230</v>
      </c>
      <c r="C52" s="12">
        <f t="shared" si="2"/>
        <v>233.77075957065986</v>
      </c>
      <c r="D52" s="12">
        <f t="shared" si="3"/>
        <v>1.0092396999994004</v>
      </c>
      <c r="E52" s="6">
        <f t="shared" si="5"/>
        <v>-13.430650911334242</v>
      </c>
      <c r="F52" s="12">
        <f t="shared" si="1"/>
        <v>222.50008034639046</v>
      </c>
      <c r="G52" s="12">
        <f t="shared" si="4"/>
        <v>56.248794810598618</v>
      </c>
    </row>
    <row r="53" spans="1:7" x14ac:dyDescent="0.35">
      <c r="A53" s="11">
        <v>19207</v>
      </c>
      <c r="B53" s="6">
        <v>242</v>
      </c>
      <c r="C53" s="12">
        <f t="shared" si="2"/>
        <v>237.58679676634983</v>
      </c>
      <c r="D53" s="12">
        <f t="shared" si="3"/>
        <v>1.0092396999998268</v>
      </c>
      <c r="E53" s="6">
        <f t="shared" si="5"/>
        <v>-15.487187582124101</v>
      </c>
      <c r="F53" s="12">
        <f t="shared" si="1"/>
        <v>224.2948399102666</v>
      </c>
      <c r="G53" s="12">
        <f t="shared" si="4"/>
        <v>313.4726938030883</v>
      </c>
    </row>
    <row r="54" spans="1:7" x14ac:dyDescent="0.35">
      <c r="A54" s="11">
        <v>19238</v>
      </c>
      <c r="B54" s="6">
        <v>209</v>
      </c>
      <c r="C54" s="12">
        <f t="shared" si="2"/>
        <v>243.69152336748084</v>
      </c>
      <c r="D54" s="12">
        <f t="shared" si="3"/>
        <v>1.0092397000008173</v>
      </c>
      <c r="E54" s="6">
        <f t="shared" si="5"/>
        <v>-32.086374298942218</v>
      </c>
      <c r="F54" s="12">
        <f t="shared" si="1"/>
        <v>213.85678563719631</v>
      </c>
      <c r="G54" s="12">
        <f t="shared" si="4"/>
        <v>23.588366725676369</v>
      </c>
    </row>
    <row r="55" spans="1:7" x14ac:dyDescent="0.35">
      <c r="A55" s="11">
        <v>19268</v>
      </c>
      <c r="B55" s="6">
        <v>191</v>
      </c>
      <c r="C55" s="12">
        <f t="shared" si="2"/>
        <v>244.870727757125</v>
      </c>
      <c r="D55" s="12">
        <f t="shared" si="3"/>
        <v>1.0092397000005524</v>
      </c>
      <c r="E55" s="6">
        <f t="shared" si="5"/>
        <v>-56.188952090271734</v>
      </c>
      <c r="F55" s="12">
        <f t="shared" si="1"/>
        <v>190.94430773024604</v>
      </c>
      <c r="G55" s="12">
        <f t="shared" si="4"/>
        <v>3.1016289103480603E-3</v>
      </c>
    </row>
    <row r="56" spans="1:7" x14ac:dyDescent="0.35">
      <c r="A56" s="11">
        <v>19299</v>
      </c>
      <c r="B56" s="6">
        <v>172</v>
      </c>
      <c r="C56" s="12">
        <f t="shared" si="2"/>
        <v>247.14555729186361</v>
      </c>
      <c r="D56" s="12">
        <f t="shared" si="3"/>
        <v>1.0092397000005555</v>
      </c>
      <c r="E56" s="6">
        <f t="shared" si="5"/>
        <v>-74.501515917105849</v>
      </c>
      <c r="F56" s="12">
        <f t="shared" si="1"/>
        <v>174.92759218060468</v>
      </c>
      <c r="G56" s="12">
        <f t="shared" si="4"/>
        <v>8.5707959759376457</v>
      </c>
    </row>
    <row r="57" spans="1:7" x14ac:dyDescent="0.35">
      <c r="A57" s="11">
        <v>19329</v>
      </c>
      <c r="B57" s="6">
        <v>194</v>
      </c>
      <c r="C57" s="12">
        <f t="shared" si="2"/>
        <v>248.78266324795979</v>
      </c>
      <c r="D57" s="12">
        <f t="shared" si="3"/>
        <v>1.0092397000003981</v>
      </c>
      <c r="E57" s="6">
        <f t="shared" si="5"/>
        <v>-55.594293942472774</v>
      </c>
      <c r="F57" s="12">
        <f t="shared" si="1"/>
        <v>195.48704647919823</v>
      </c>
      <c r="G57" s="12">
        <f t="shared" si="4"/>
        <v>2.2113072312958435</v>
      </c>
    </row>
    <row r="58" spans="1:7" x14ac:dyDescent="0.35">
      <c r="A58" s="11">
        <v>19360</v>
      </c>
      <c r="B58" s="6">
        <v>196</v>
      </c>
      <c r="C58" s="12">
        <f t="shared" si="2"/>
        <v>250.75298405284812</v>
      </c>
      <c r="D58" s="12">
        <f t="shared" si="3"/>
        <v>1.0092397000003186</v>
      </c>
      <c r="E58" s="6">
        <f t="shared" si="5"/>
        <v>-52.283692884530126</v>
      </c>
      <c r="F58" s="12">
        <f t="shared" si="1"/>
        <v>200.78617351515098</v>
      </c>
      <c r="G58" s="12">
        <f t="shared" si="4"/>
        <v>22.907456917132667</v>
      </c>
    </row>
    <row r="59" spans="1:7" x14ac:dyDescent="0.35">
      <c r="A59" s="11">
        <v>19391</v>
      </c>
      <c r="B59" s="6">
        <v>196</v>
      </c>
      <c r="C59" s="12">
        <f t="shared" si="2"/>
        <v>252.01302616100972</v>
      </c>
      <c r="D59" s="12">
        <f t="shared" si="3"/>
        <v>1.009239700000065</v>
      </c>
      <c r="E59" s="6">
        <f t="shared" si="5"/>
        <v>-45.898280494311464</v>
      </c>
      <c r="F59" s="12">
        <f t="shared" si="1"/>
        <v>208.44327042453455</v>
      </c>
      <c r="G59" s="12">
        <f t="shared" si="4"/>
        <v>154.83497885809615</v>
      </c>
    </row>
    <row r="60" spans="1:7" x14ac:dyDescent="0.35">
      <c r="A60" s="11">
        <v>19419</v>
      </c>
      <c r="B60" s="6">
        <v>236</v>
      </c>
      <c r="C60" s="12">
        <f t="shared" si="2"/>
        <v>251.59393868880704</v>
      </c>
      <c r="D60" s="12">
        <f t="shared" si="3"/>
        <v>1.0092396999994089</v>
      </c>
      <c r="E60" s="6">
        <f t="shared" si="5"/>
        <v>-32.65041654821772</v>
      </c>
      <c r="F60" s="12">
        <f t="shared" si="1"/>
        <v>221.26817465574356</v>
      </c>
      <c r="G60" s="12">
        <f t="shared" si="4"/>
        <v>217.02667797367624</v>
      </c>
    </row>
    <row r="61" spans="1:7" x14ac:dyDescent="0.35">
      <c r="A61" s="11">
        <v>19450</v>
      </c>
      <c r="B61" s="6">
        <v>235</v>
      </c>
      <c r="C61" s="12">
        <f t="shared" si="2"/>
        <v>257.17154176323442</v>
      </c>
      <c r="D61" s="12">
        <f t="shared" si="3"/>
        <v>1.0092397000001871</v>
      </c>
      <c r="E61" s="6">
        <f t="shared" si="5"/>
        <v>-45.499477975911198</v>
      </c>
      <c r="F61" s="12">
        <f t="shared" si="1"/>
        <v>214.0482516818011</v>
      </c>
      <c r="G61" s="12">
        <f t="shared" si="4"/>
        <v>438.97575758915025</v>
      </c>
    </row>
    <row r="62" spans="1:7" x14ac:dyDescent="0.35">
      <c r="A62" s="11">
        <v>19480</v>
      </c>
      <c r="B62" s="6">
        <v>229</v>
      </c>
      <c r="C62" s="12">
        <f t="shared" si="2"/>
        <v>264.17410825077695</v>
      </c>
      <c r="D62" s="12">
        <f t="shared" si="3"/>
        <v>1.0092397000012698</v>
      </c>
      <c r="E62" s="6">
        <f t="shared" si="5"/>
        <v>-43.860420817874136</v>
      </c>
      <c r="F62" s="12">
        <f t="shared" si="1"/>
        <v>222.75457694124296</v>
      </c>
      <c r="G62" s="12">
        <f t="shared" si="4"/>
        <v>39.005309182854148</v>
      </c>
    </row>
    <row r="63" spans="1:7" x14ac:dyDescent="0.35">
      <c r="A63" s="11">
        <v>19511</v>
      </c>
      <c r="B63" s="6">
        <v>243</v>
      </c>
      <c r="C63" s="12">
        <f t="shared" si="2"/>
        <v>267.99405649468656</v>
      </c>
      <c r="D63" s="12">
        <f t="shared" si="3"/>
        <v>1.009239700001584</v>
      </c>
      <c r="E63" s="6">
        <f t="shared" si="5"/>
        <v>-15.770759570659848</v>
      </c>
      <c r="F63" s="12">
        <f t="shared" si="1"/>
        <v>254.69948160824521</v>
      </c>
      <c r="G63" s="12">
        <f t="shared" si="4"/>
        <v>136.87786990166788</v>
      </c>
    </row>
    <row r="64" spans="1:7" x14ac:dyDescent="0.35">
      <c r="A64" s="11">
        <v>19541</v>
      </c>
      <c r="B64" s="6">
        <v>264</v>
      </c>
      <c r="C64" s="12">
        <f t="shared" si="2"/>
        <v>267.88686577555865</v>
      </c>
      <c r="D64" s="12">
        <f t="shared" si="3"/>
        <v>1.0092397000010038</v>
      </c>
      <c r="E64" s="6">
        <f t="shared" si="5"/>
        <v>-7.5867967663498543</v>
      </c>
      <c r="F64" s="12">
        <f t="shared" si="1"/>
        <v>262.77526328318413</v>
      </c>
      <c r="G64" s="12">
        <f t="shared" si="4"/>
        <v>1.499980025516914</v>
      </c>
    </row>
    <row r="65" spans="1:7" x14ac:dyDescent="0.35">
      <c r="A65" s="11">
        <v>19572</v>
      </c>
      <c r="B65" s="6">
        <v>272</v>
      </c>
      <c r="C65" s="12">
        <f t="shared" si="2"/>
        <v>270.63249551118446</v>
      </c>
      <c r="D65" s="12">
        <f t="shared" si="3"/>
        <v>1.0092397000010647</v>
      </c>
      <c r="E65" s="6">
        <f t="shared" si="5"/>
        <v>-1.6915233674808399</v>
      </c>
      <c r="F65" s="12">
        <f t="shared" si="1"/>
        <v>271.44153521276644</v>
      </c>
      <c r="G65" s="12">
        <f t="shared" si="4"/>
        <v>0.31188291857982642</v>
      </c>
    </row>
    <row r="66" spans="1:7" x14ac:dyDescent="0.35">
      <c r="A66" s="11">
        <v>19603</v>
      </c>
      <c r="B66" s="6">
        <v>237</v>
      </c>
      <c r="C66" s="12">
        <f t="shared" si="2"/>
        <v>273.25637380422756</v>
      </c>
      <c r="D66" s="12">
        <f t="shared" si="3"/>
        <v>1.0092397000010922</v>
      </c>
      <c r="E66" s="6">
        <f t="shared" si="5"/>
        <v>-35.87072775712501</v>
      </c>
      <c r="F66" s="12">
        <f t="shared" si="1"/>
        <v>239.91045296443991</v>
      </c>
      <c r="G66" s="12">
        <f t="shared" si="4"/>
        <v>8.4707364582170737</v>
      </c>
    </row>
    <row r="67" spans="1:7" x14ac:dyDescent="0.35">
      <c r="A67" s="11">
        <v>19633</v>
      </c>
      <c r="B67" s="6">
        <v>211</v>
      </c>
      <c r="C67" s="12">
        <f t="shared" si="2"/>
        <v>275.13852040098868</v>
      </c>
      <c r="D67" s="12">
        <f t="shared" si="3"/>
        <v>1.0092397000009508</v>
      </c>
      <c r="E67" s="6">
        <f t="shared" si="5"/>
        <v>-56.145557291863632</v>
      </c>
      <c r="F67" s="12">
        <f t="shared" si="1"/>
        <v>221.53516049633564</v>
      </c>
      <c r="G67" s="12">
        <f t="shared" si="4"/>
        <v>110.9896066835509</v>
      </c>
    </row>
    <row r="68" spans="1:7" x14ac:dyDescent="0.35">
      <c r="A68" s="11">
        <v>19664</v>
      </c>
      <c r="B68" s="6">
        <v>180</v>
      </c>
      <c r="C68" s="12">
        <f t="shared" si="2"/>
        <v>275.35443741032685</v>
      </c>
      <c r="D68" s="12">
        <f t="shared" si="3"/>
        <v>1.0092397000004418</v>
      </c>
      <c r="E68" s="6">
        <f t="shared" si="5"/>
        <v>-76.782663247959817</v>
      </c>
      <c r="F68" s="12">
        <f t="shared" si="1"/>
        <v>201.11596655782887</v>
      </c>
      <c r="G68" s="12">
        <f t="shared" si="4"/>
        <v>445.88404367134717</v>
      </c>
    </row>
    <row r="69" spans="1:7" x14ac:dyDescent="0.35">
      <c r="A69" s="11">
        <v>19694</v>
      </c>
      <c r="B69" s="6">
        <v>201</v>
      </c>
      <c r="C69" s="12">
        <f t="shared" si="2"/>
        <v>273.23599000259128</v>
      </c>
      <c r="D69" s="12">
        <f t="shared" si="3"/>
        <v>1.0092396999994226</v>
      </c>
      <c r="E69" s="6">
        <f t="shared" si="5"/>
        <v>-56.752984052848113</v>
      </c>
      <c r="F69" s="12">
        <f t="shared" si="1"/>
        <v>219.00762452641234</v>
      </c>
      <c r="G69" s="12">
        <f t="shared" si="4"/>
        <v>324.27454108424735</v>
      </c>
    </row>
    <row r="70" spans="1:7" x14ac:dyDescent="0.35">
      <c r="A70" s="11">
        <v>19725</v>
      </c>
      <c r="B70" s="6">
        <v>204</v>
      </c>
      <c r="C70" s="12">
        <f t="shared" si="2"/>
        <v>271.78432519919636</v>
      </c>
      <c r="D70" s="12">
        <f t="shared" si="3"/>
        <v>1.0092396999985469</v>
      </c>
      <c r="E70" s="6">
        <f t="shared" si="5"/>
        <v>-56.013026161009755</v>
      </c>
      <c r="F70" s="12">
        <f t="shared" si="1"/>
        <v>218.28250466733471</v>
      </c>
      <c r="G70" s="12">
        <f t="shared" si="4"/>
        <v>203.98993957243766</v>
      </c>
    </row>
    <row r="71" spans="1:7" x14ac:dyDescent="0.35">
      <c r="A71" s="11">
        <v>19756</v>
      </c>
      <c r="B71" s="6">
        <v>188</v>
      </c>
      <c r="C71" s="12">
        <f t="shared" si="2"/>
        <v>271.14179526199513</v>
      </c>
      <c r="D71" s="12">
        <f t="shared" si="3"/>
        <v>1.0092396999978486</v>
      </c>
      <c r="E71" s="6">
        <f t="shared" si="5"/>
        <v>-55.593938688807057</v>
      </c>
      <c r="F71" s="12">
        <f t="shared" si="1"/>
        <v>218.05312541828698</v>
      </c>
      <c r="G71" s="12">
        <f t="shared" si="4"/>
        <v>903.19034740728705</v>
      </c>
    </row>
    <row r="72" spans="1:7" x14ac:dyDescent="0.35">
      <c r="A72" s="11">
        <v>19784</v>
      </c>
      <c r="B72" s="6">
        <v>235</v>
      </c>
      <c r="C72" s="12">
        <f t="shared" si="2"/>
        <v>267.01100042504407</v>
      </c>
      <c r="D72" s="12">
        <f t="shared" si="3"/>
        <v>1.0092396999963755</v>
      </c>
      <c r="E72" s="6">
        <f t="shared" si="5"/>
        <v>-21.171541763234426</v>
      </c>
      <c r="F72" s="12">
        <f t="shared" si="1"/>
        <v>248.30656020146915</v>
      </c>
      <c r="G72" s="12">
        <f t="shared" si="4"/>
        <v>177.0645443953228</v>
      </c>
    </row>
    <row r="73" spans="1:7" x14ac:dyDescent="0.35">
      <c r="A73" s="11">
        <v>19815</v>
      </c>
      <c r="B73" s="6">
        <v>227</v>
      </c>
      <c r="C73" s="12">
        <f t="shared" si="2"/>
        <v>266.53986576940093</v>
      </c>
      <c r="D73" s="12">
        <f t="shared" si="3"/>
        <v>1.0092396999957132</v>
      </c>
      <c r="E73" s="6">
        <f t="shared" si="5"/>
        <v>-29.174108250776946</v>
      </c>
      <c r="F73" s="12">
        <f t="shared" si="1"/>
        <v>239.82850591523089</v>
      </c>
      <c r="G73" s="12">
        <f t="shared" si="4"/>
        <v>164.57056401711398</v>
      </c>
    </row>
    <row r="74" spans="1:7" x14ac:dyDescent="0.35">
      <c r="A74" s="11">
        <v>19845</v>
      </c>
      <c r="B74" s="6">
        <v>234</v>
      </c>
      <c r="C74" s="12">
        <f t="shared" si="2"/>
        <v>266.16993766350919</v>
      </c>
      <c r="D74" s="12">
        <f t="shared" si="3"/>
        <v>1.0092396999950735</v>
      </c>
      <c r="E74" s="6">
        <f t="shared" si="5"/>
        <v>-38.994056494686603</v>
      </c>
      <c r="F74" s="12">
        <f t="shared" si="1"/>
        <v>229.63521154054081</v>
      </c>
      <c r="G74" s="12">
        <f t="shared" si="4"/>
        <v>19.05137829582814</v>
      </c>
    </row>
    <row r="75" spans="1:7" x14ac:dyDescent="0.35">
      <c r="A75" s="11">
        <v>19876</v>
      </c>
      <c r="B75" s="6">
        <v>264</v>
      </c>
      <c r="C75" s="12">
        <f t="shared" si="2"/>
        <v>269.5930617762279</v>
      </c>
      <c r="D75" s="12">
        <f t="shared" si="3"/>
        <v>1.0092396999952915</v>
      </c>
      <c r="E75" s="6">
        <f t="shared" si="5"/>
        <v>-24.886865775558654</v>
      </c>
      <c r="F75" s="12">
        <f t="shared" ref="F75:F117" si="6">C75*D75+E75</f>
        <v>247.19715501229371</v>
      </c>
      <c r="G75" s="12">
        <f t="shared" si="4"/>
        <v>282.3355996808865</v>
      </c>
    </row>
    <row r="76" spans="1:7" x14ac:dyDescent="0.35">
      <c r="A76" s="11">
        <v>19906</v>
      </c>
      <c r="B76" s="6">
        <v>302</v>
      </c>
      <c r="C76" s="12">
        <f t="shared" ref="C76:C117" si="7">(B75-E75)*$E$2+(C75*D75)*(1-$E$2)</f>
        <v>275.79427547271723</v>
      </c>
      <c r="D76" s="12">
        <f t="shared" ref="D76:D117" si="8">(C76/C75)*$E$3+D75*(1-$E$3)</f>
        <v>1.00923969999612</v>
      </c>
      <c r="E76" s="6">
        <f t="shared" si="5"/>
        <v>-6.6324955111844703</v>
      </c>
      <c r="F76" s="12">
        <f t="shared" si="6"/>
        <v>271.71003632754793</v>
      </c>
      <c r="G76" s="12">
        <f t="shared" ref="G76:G117" si="9">(F76-B76)^2</f>
        <v>917.48189927846636</v>
      </c>
    </row>
    <row r="77" spans="1:7" x14ac:dyDescent="0.35">
      <c r="A77" s="11">
        <v>19937</v>
      </c>
      <c r="B77" s="6">
        <v>293</v>
      </c>
      <c r="C77" s="12">
        <f t="shared" si="7"/>
        <v>285.03089203620652</v>
      </c>
      <c r="D77" s="12">
        <f t="shared" si="8"/>
        <v>1.0092396999975797</v>
      </c>
      <c r="E77" s="6">
        <f t="shared" si="5"/>
        <v>-1.256373804227588</v>
      </c>
      <c r="F77" s="12">
        <f t="shared" si="6"/>
        <v>286.40811816443602</v>
      </c>
      <c r="G77" s="12">
        <f t="shared" si="9"/>
        <v>43.452906134038365</v>
      </c>
    </row>
    <row r="78" spans="1:7" x14ac:dyDescent="0.35">
      <c r="A78" s="11">
        <v>19968</v>
      </c>
      <c r="B78" s="6">
        <v>259</v>
      </c>
      <c r="C78" s="12">
        <f t="shared" si="7"/>
        <v>289.12005264784449</v>
      </c>
      <c r="D78" s="12">
        <f t="shared" si="8"/>
        <v>1.009239699997887</v>
      </c>
      <c r="E78" s="6">
        <f t="shared" si="5"/>
        <v>-38.138520400988675</v>
      </c>
      <c r="F78" s="12">
        <f t="shared" si="6"/>
        <v>253.6529147966952</v>
      </c>
      <c r="G78" s="12">
        <f t="shared" si="9"/>
        <v>28.59132017140114</v>
      </c>
    </row>
    <row r="79" spans="1:7" x14ac:dyDescent="0.35">
      <c r="A79" s="11">
        <v>19998</v>
      </c>
      <c r="B79" s="6">
        <v>229</v>
      </c>
      <c r="C79" s="12">
        <f t="shared" si="7"/>
        <v>292.97213096321934</v>
      </c>
      <c r="D79" s="12">
        <f t="shared" si="8"/>
        <v>1.0092396999981328</v>
      </c>
      <c r="E79" s="6">
        <f t="shared" si="5"/>
        <v>-64.354437410326852</v>
      </c>
      <c r="F79" s="12">
        <f t="shared" si="6"/>
        <v>231.3246681508063</v>
      </c>
      <c r="G79" s="12">
        <f t="shared" si="9"/>
        <v>5.4040820113731982</v>
      </c>
    </row>
    <row r="80" spans="1:7" x14ac:dyDescent="0.35">
      <c r="A80" s="11">
        <v>20029</v>
      </c>
      <c r="B80" s="6">
        <v>203</v>
      </c>
      <c r="C80" s="12">
        <f t="shared" si="7"/>
        <v>295.16579302961867</v>
      </c>
      <c r="D80" s="12">
        <f t="shared" si="8"/>
        <v>1.0092396999980273</v>
      </c>
      <c r="E80" s="6">
        <f t="shared" si="5"/>
        <v>-93.235990002591279</v>
      </c>
      <c r="F80" s="12">
        <f t="shared" si="6"/>
        <v>204.6570464043009</v>
      </c>
      <c r="G80" s="12">
        <f t="shared" si="9"/>
        <v>2.7458027860065406</v>
      </c>
    </row>
    <row r="81" spans="1:7" x14ac:dyDescent="0.35">
      <c r="A81" s="11">
        <v>20059</v>
      </c>
      <c r="B81" s="6">
        <v>229</v>
      </c>
      <c r="C81" s="12">
        <f t="shared" si="7"/>
        <v>297.52714216760745</v>
      </c>
      <c r="D81" s="12">
        <f t="shared" si="8"/>
        <v>1.0092396999979527</v>
      </c>
      <c r="E81" s="6">
        <f t="shared" si="5"/>
        <v>-70.784325199196374</v>
      </c>
      <c r="F81" s="12">
        <f t="shared" si="6"/>
        <v>229.49187850328804</v>
      </c>
      <c r="G81" s="12">
        <f t="shared" si="9"/>
        <v>0.24194446199687752</v>
      </c>
    </row>
    <row r="82" spans="1:7" x14ac:dyDescent="0.35">
      <c r="A82" s="11">
        <v>20090</v>
      </c>
      <c r="B82" s="6">
        <v>242</v>
      </c>
      <c r="C82" s="12">
        <f t="shared" si="7"/>
        <v>300.16759146910704</v>
      </c>
      <c r="D82" s="12">
        <f t="shared" si="8"/>
        <v>1.0092396999979307</v>
      </c>
      <c r="E82" s="6">
        <f t="shared" si="5"/>
        <v>-67.141795261995142</v>
      </c>
      <c r="F82" s="12">
        <f t="shared" si="6"/>
        <v>235.79925470138789</v>
      </c>
      <c r="G82" s="12">
        <f t="shared" si="9"/>
        <v>38.449242258260128</v>
      </c>
    </row>
    <row r="83" spans="1:7" x14ac:dyDescent="0.35">
      <c r="A83" s="11">
        <v>20121</v>
      </c>
      <c r="B83" s="6">
        <v>233</v>
      </c>
      <c r="C83" s="12">
        <f t="shared" si="7"/>
        <v>304.31024335358939</v>
      </c>
      <c r="D83" s="12">
        <f t="shared" si="8"/>
        <v>1.0092396999982054</v>
      </c>
      <c r="E83" s="6">
        <f t="shared" si="5"/>
        <v>-79.011000425044116</v>
      </c>
      <c r="F83" s="12">
        <f t="shared" si="6"/>
        <v>228.1109782835133</v>
      </c>
      <c r="G83" s="12">
        <f t="shared" si="9"/>
        <v>23.902533344278513</v>
      </c>
    </row>
    <row r="84" spans="1:7" x14ac:dyDescent="0.35">
      <c r="A84" s="11">
        <v>20149</v>
      </c>
      <c r="B84" s="6">
        <v>267</v>
      </c>
      <c r="C84" s="12">
        <f t="shared" si="7"/>
        <v>308.20152897169874</v>
      </c>
      <c r="D84" s="12">
        <f t="shared" si="8"/>
        <v>1.009239699998419</v>
      </c>
      <c r="E84" s="6">
        <f t="shared" si="5"/>
        <v>-31.539865769400947</v>
      </c>
      <c r="F84" s="12">
        <f t="shared" si="6"/>
        <v>279.50935286905036</v>
      </c>
      <c r="G84" s="12">
        <f t="shared" si="9"/>
        <v>156.48390920241849</v>
      </c>
    </row>
    <row r="85" spans="1:7" x14ac:dyDescent="0.35">
      <c r="A85" s="11">
        <v>20180</v>
      </c>
      <c r="B85" s="6">
        <v>269</v>
      </c>
      <c r="C85" s="12">
        <f t="shared" si="7"/>
        <v>308.28701467114814</v>
      </c>
      <c r="D85" s="12">
        <f t="shared" si="8"/>
        <v>1.0092396999978797</v>
      </c>
      <c r="E85" s="6">
        <f t="shared" si="5"/>
        <v>-39.169937663509202</v>
      </c>
      <c r="F85" s="12">
        <f t="shared" si="6"/>
        <v>271.96555653644231</v>
      </c>
      <c r="G85" s="12">
        <f t="shared" si="9"/>
        <v>8.7945255708356918</v>
      </c>
    </row>
    <row r="86" spans="1:7" x14ac:dyDescent="0.35">
      <c r="A86" s="11">
        <v>20210</v>
      </c>
      <c r="B86" s="6">
        <v>270</v>
      </c>
      <c r="C86" s="12">
        <f t="shared" si="7"/>
        <v>310.48066639902748</v>
      </c>
      <c r="D86" s="12">
        <f t="shared" si="8"/>
        <v>1.0092396999977518</v>
      </c>
      <c r="E86" s="6">
        <f t="shared" si="5"/>
        <v>-35.593061776227913</v>
      </c>
      <c r="F86" s="12">
        <f t="shared" si="6"/>
        <v>277.75635283542863</v>
      </c>
      <c r="G86" s="12">
        <f t="shared" si="9"/>
        <v>60.161009307661736</v>
      </c>
    </row>
    <row r="87" spans="1:7" x14ac:dyDescent="0.35">
      <c r="A87" s="11">
        <v>20241</v>
      </c>
      <c r="B87" s="6">
        <v>315</v>
      </c>
      <c r="C87" s="12">
        <f t="shared" si="7"/>
        <v>311.63672581007739</v>
      </c>
      <c r="D87" s="12">
        <f t="shared" si="8"/>
        <v>1.0092396999974198</v>
      </c>
      <c r="E87" s="6">
        <f t="shared" ref="E87:E117" si="10">$E$4*(B75-C75*D75)+(1-$E$4)*E75</f>
        <v>-11.794275472717267</v>
      </c>
      <c r="F87" s="12">
        <f t="shared" si="6"/>
        <v>302.72188019202338</v>
      </c>
      <c r="G87" s="12">
        <f t="shared" si="9"/>
        <v>150.75222601902789</v>
      </c>
    </row>
    <row r="88" spans="1:7" x14ac:dyDescent="0.35">
      <c r="A88" s="11">
        <v>20271</v>
      </c>
      <c r="B88" s="6">
        <v>364</v>
      </c>
      <c r="C88" s="12">
        <f t="shared" si="7"/>
        <v>317.22730080547177</v>
      </c>
      <c r="D88" s="12">
        <f t="shared" si="8"/>
        <v>1.0092396999979434</v>
      </c>
      <c r="E88" s="6">
        <f t="shared" si="10"/>
        <v>16.96910796379343</v>
      </c>
      <c r="F88" s="12">
        <f t="shared" si="6"/>
        <v>337.12749385986507</v>
      </c>
      <c r="G88" s="12">
        <f t="shared" si="9"/>
        <v>722.13158625158951</v>
      </c>
    </row>
    <row r="89" spans="1:7" x14ac:dyDescent="0.35">
      <c r="A89" s="11">
        <v>20302</v>
      </c>
      <c r="B89" s="6">
        <v>347</v>
      </c>
      <c r="C89" s="12">
        <f t="shared" si="7"/>
        <v>326.09213353663159</v>
      </c>
      <c r="D89" s="12">
        <f t="shared" si="8"/>
        <v>1.0092396999990692</v>
      </c>
      <c r="E89" s="6">
        <f t="shared" si="10"/>
        <v>3.8799473521555097</v>
      </c>
      <c r="F89" s="12">
        <f t="shared" si="6"/>
        <v>332.98507437472199</v>
      </c>
      <c r="G89" s="12">
        <f t="shared" si="9"/>
        <v>196.41814028207423</v>
      </c>
    </row>
    <row r="90" spans="1:7" x14ac:dyDescent="0.35">
      <c r="A90" s="11">
        <v>20333</v>
      </c>
      <c r="B90" s="6">
        <v>312</v>
      </c>
      <c r="C90" s="12">
        <f t="shared" si="7"/>
        <v>332.19977816630228</v>
      </c>
      <c r="D90" s="12">
        <f t="shared" si="8"/>
        <v>1.0092396999996405</v>
      </c>
      <c r="E90" s="6">
        <f t="shared" si="10"/>
        <v>-33.972130963219335</v>
      </c>
      <c r="F90" s="12">
        <f t="shared" si="6"/>
        <v>301.29707349328669</v>
      </c>
      <c r="G90" s="12">
        <f t="shared" si="9"/>
        <v>114.5526358081064</v>
      </c>
    </row>
    <row r="91" spans="1:7" x14ac:dyDescent="0.35">
      <c r="A91" s="11">
        <v>20363</v>
      </c>
      <c r="B91" s="6">
        <v>274</v>
      </c>
      <c r="C91" s="12">
        <f t="shared" si="7"/>
        <v>337.63252943167254</v>
      </c>
      <c r="D91" s="12">
        <f t="shared" si="8"/>
        <v>1.0092397000000688</v>
      </c>
      <c r="E91" s="6">
        <f t="shared" si="10"/>
        <v>-66.165793029618641</v>
      </c>
      <c r="F91" s="12">
        <f t="shared" si="6"/>
        <v>274.58635968426699</v>
      </c>
      <c r="G91" s="12">
        <f t="shared" si="9"/>
        <v>0.34381767933368995</v>
      </c>
    </row>
    <row r="92" spans="1:7" x14ac:dyDescent="0.35">
      <c r="A92" s="11">
        <v>20394</v>
      </c>
      <c r="B92" s="6">
        <v>237</v>
      </c>
      <c r="C92" s="12">
        <f t="shared" si="7"/>
        <v>340.62267798700691</v>
      </c>
      <c r="D92" s="12">
        <f t="shared" si="8"/>
        <v>1.0092397000000457</v>
      </c>
      <c r="E92" s="6">
        <f t="shared" si="10"/>
        <v>-94.527142167607451</v>
      </c>
      <c r="F92" s="12">
        <f t="shared" si="6"/>
        <v>249.2427871772116</v>
      </c>
      <c r="G92" s="12">
        <f t="shared" si="9"/>
        <v>149.8858378664967</v>
      </c>
    </row>
    <row r="93" spans="1:7" x14ac:dyDescent="0.35">
      <c r="A93" s="11">
        <v>20424</v>
      </c>
      <c r="B93" s="6">
        <v>278</v>
      </c>
      <c r="C93" s="12">
        <f t="shared" si="7"/>
        <v>341.06658604115307</v>
      </c>
      <c r="D93" s="12">
        <f t="shared" si="8"/>
        <v>1.0092396999995681</v>
      </c>
      <c r="E93" s="6">
        <f t="shared" si="10"/>
        <v>-71.167591469107009</v>
      </c>
      <c r="F93" s="12">
        <f t="shared" si="6"/>
        <v>273.05034750694324</v>
      </c>
      <c r="G93" s="12">
        <f t="shared" si="9"/>
        <v>24.499059802023002</v>
      </c>
    </row>
    <row r="94" spans="1:7" x14ac:dyDescent="0.35">
      <c r="A94" s="11">
        <v>20455</v>
      </c>
      <c r="B94" s="6">
        <v>284</v>
      </c>
      <c r="C94" s="12">
        <f t="shared" si="7"/>
        <v>345.31087718765986</v>
      </c>
      <c r="D94" s="12">
        <f t="shared" si="8"/>
        <v>1.009239699999761</v>
      </c>
      <c r="E94" s="6">
        <f t="shared" si="10"/>
        <v>-62.310243353589392</v>
      </c>
      <c r="F94" s="12">
        <f t="shared" si="6"/>
        <v>286.19120274593877</v>
      </c>
      <c r="G94" s="12">
        <f t="shared" si="9"/>
        <v>4.8013694738095936</v>
      </c>
    </row>
    <row r="95" spans="1:7" x14ac:dyDescent="0.35">
      <c r="A95" s="11">
        <v>20486</v>
      </c>
      <c r="B95" s="6">
        <v>277</v>
      </c>
      <c r="C95" s="12">
        <f t="shared" si="7"/>
        <v>348.01760421087437</v>
      </c>
      <c r="D95" s="12">
        <f t="shared" si="8"/>
        <v>1.0092396999996767</v>
      </c>
      <c r="E95" s="6">
        <f t="shared" si="10"/>
        <v>-75.20152897169875</v>
      </c>
      <c r="F95" s="12">
        <f t="shared" si="6"/>
        <v>276.0316534966903</v>
      </c>
      <c r="G95" s="12">
        <f t="shared" si="9"/>
        <v>0.93769495047212981</v>
      </c>
    </row>
    <row r="96" spans="1:7" x14ac:dyDescent="0.35">
      <c r="A96" s="11">
        <v>20515</v>
      </c>
      <c r="B96" s="6">
        <v>317</v>
      </c>
      <c r="C96" s="12">
        <f t="shared" si="7"/>
        <v>351.44700412496604</v>
      </c>
      <c r="D96" s="12">
        <f t="shared" si="8"/>
        <v>1.0092396999997137</v>
      </c>
      <c r="E96" s="6">
        <f t="shared" si="10"/>
        <v>-41.287014671148128</v>
      </c>
      <c r="F96" s="12">
        <f t="shared" si="6"/>
        <v>313.40725433773076</v>
      </c>
      <c r="G96" s="12">
        <f t="shared" si="9"/>
        <v>12.907821393754421</v>
      </c>
    </row>
    <row r="97" spans="1:7" x14ac:dyDescent="0.35">
      <c r="A97" s="11">
        <v>20546</v>
      </c>
      <c r="B97" s="6">
        <v>313</v>
      </c>
      <c r="C97" s="12">
        <f t="shared" si="7"/>
        <v>355.48758713058476</v>
      </c>
      <c r="D97" s="12">
        <f t="shared" si="8"/>
        <v>1.0092396999998496</v>
      </c>
      <c r="E97" s="6">
        <f t="shared" si="10"/>
        <v>-41.480666399027484</v>
      </c>
      <c r="F97" s="12">
        <f t="shared" si="6"/>
        <v>317.29151939031431</v>
      </c>
      <c r="G97" s="12">
        <f t="shared" si="9"/>
        <v>18.417138677443674</v>
      </c>
    </row>
    <row r="98" spans="1:7" x14ac:dyDescent="0.35">
      <c r="A98" s="11">
        <v>20576</v>
      </c>
      <c r="B98" s="6">
        <v>318</v>
      </c>
      <c r="C98" s="12">
        <f t="shared" si="7"/>
        <v>357.82457067209521</v>
      </c>
      <c r="D98" s="12">
        <f t="shared" si="8"/>
        <v>1.0092396999996893</v>
      </c>
      <c r="E98" s="6">
        <f t="shared" si="10"/>
        <v>-41.636725810077415</v>
      </c>
      <c r="F98" s="12">
        <f t="shared" si="6"/>
        <v>319.49403654754559</v>
      </c>
      <c r="G98" s="12">
        <f t="shared" si="9"/>
        <v>2.2321452054019475</v>
      </c>
    </row>
    <row r="99" spans="1:7" x14ac:dyDescent="0.35">
      <c r="A99" s="11">
        <v>20607</v>
      </c>
      <c r="B99" s="6">
        <v>374</v>
      </c>
      <c r="C99" s="12">
        <f t="shared" si="7"/>
        <v>360.80086250411921</v>
      </c>
      <c r="D99" s="12">
        <f t="shared" si="8"/>
        <v>1.0092396999996338</v>
      </c>
      <c r="E99" s="6">
        <f t="shared" si="10"/>
        <v>-2.227300805471768</v>
      </c>
      <c r="F99" s="12">
        <f t="shared" si="6"/>
        <v>361.90725342779461</v>
      </c>
      <c r="G99" s="12">
        <f t="shared" si="9"/>
        <v>146.23451965958509</v>
      </c>
    </row>
    <row r="100" spans="1:7" x14ac:dyDescent="0.35">
      <c r="A100" s="11">
        <v>20637</v>
      </c>
      <c r="B100" s="6">
        <v>413</v>
      </c>
      <c r="C100" s="12">
        <f t="shared" si="7"/>
        <v>366.80476690589632</v>
      </c>
      <c r="D100" s="12">
        <f t="shared" si="8"/>
        <v>1.0092397000000792</v>
      </c>
      <c r="E100" s="6">
        <f t="shared" si="10"/>
        <v>37.9078664633684</v>
      </c>
      <c r="F100" s="12">
        <f t="shared" si="6"/>
        <v>408.10179937407418</v>
      </c>
      <c r="G100" s="12">
        <f t="shared" si="9"/>
        <v>23.992369371820136</v>
      </c>
    </row>
    <row r="101" spans="1:7" x14ac:dyDescent="0.35">
      <c r="A101" s="11">
        <v>20668</v>
      </c>
      <c r="B101" s="6">
        <v>405</v>
      </c>
      <c r="C101" s="12">
        <f t="shared" si="7"/>
        <v>371.27550997893712</v>
      </c>
      <c r="D101" s="12">
        <f t="shared" si="8"/>
        <v>1.0092397000002566</v>
      </c>
      <c r="E101" s="6">
        <f t="shared" si="10"/>
        <v>14.800221833697696</v>
      </c>
      <c r="F101" s="12">
        <f t="shared" si="6"/>
        <v>389.50620614228251</v>
      </c>
      <c r="G101" s="12">
        <f t="shared" si="9"/>
        <v>240.05764810544429</v>
      </c>
    </row>
    <row r="102" spans="1:7" x14ac:dyDescent="0.35">
      <c r="A102" s="11">
        <v>20699</v>
      </c>
      <c r="B102" s="6">
        <v>355</v>
      </c>
      <c r="C102" s="12">
        <f t="shared" si="7"/>
        <v>378.12718597348066</v>
      </c>
      <c r="D102" s="12">
        <f t="shared" si="8"/>
        <v>1.0092397000008113</v>
      </c>
      <c r="E102" s="6">
        <f t="shared" si="10"/>
        <v>-25.632529431672555</v>
      </c>
      <c r="F102" s="12">
        <f t="shared" si="6"/>
        <v>355.9884383023541</v>
      </c>
      <c r="G102" s="12">
        <f t="shared" si="9"/>
        <v>0.97701027756065062</v>
      </c>
    </row>
    <row r="103" spans="1:7" x14ac:dyDescent="0.35">
      <c r="A103" s="11">
        <v>20729</v>
      </c>
      <c r="B103" s="6">
        <v>306</v>
      </c>
      <c r="C103" s="12">
        <f t="shared" si="7"/>
        <v>381.40270958520171</v>
      </c>
      <c r="D103" s="12">
        <f t="shared" si="8"/>
        <v>1.0092397000007767</v>
      </c>
      <c r="E103" s="6">
        <f t="shared" si="10"/>
        <v>-66.622677987006966</v>
      </c>
      <c r="F103" s="12">
        <f t="shared" si="6"/>
        <v>318.30407821424535</v>
      </c>
      <c r="G103" s="12">
        <f t="shared" si="9"/>
        <v>151.39034070226705</v>
      </c>
    </row>
    <row r="104" spans="1:7" x14ac:dyDescent="0.35">
      <c r="A104" s="11">
        <v>20760</v>
      </c>
      <c r="B104" s="6">
        <v>271</v>
      </c>
      <c r="C104" s="12">
        <f t="shared" si="7"/>
        <v>382.20987915627876</v>
      </c>
      <c r="D104" s="12">
        <f t="shared" si="8"/>
        <v>1.0092397000003479</v>
      </c>
      <c r="E104" s="6">
        <f t="shared" si="10"/>
        <v>-104.06658604115306</v>
      </c>
      <c r="F104" s="12">
        <f t="shared" si="6"/>
        <v>281.67479773569892</v>
      </c>
      <c r="G104" s="12">
        <f t="shared" si="9"/>
        <v>113.95130669808272</v>
      </c>
    </row>
    <row r="105" spans="1:7" x14ac:dyDescent="0.35">
      <c r="A105" s="11">
        <v>20790</v>
      </c>
      <c r="B105" s="6">
        <v>306</v>
      </c>
      <c r="C105" s="12">
        <f t="shared" si="7"/>
        <v>383.38426994655475</v>
      </c>
      <c r="D105" s="12">
        <f t="shared" si="8"/>
        <v>1.0092396999999769</v>
      </c>
      <c r="E105" s="6">
        <f t="shared" si="10"/>
        <v>-67.310877187659827</v>
      </c>
      <c r="F105" s="12">
        <f t="shared" si="6"/>
        <v>319.61574839791126</v>
      </c>
      <c r="G105" s="12">
        <f t="shared" si="9"/>
        <v>185.38860443522307</v>
      </c>
    </row>
    <row r="106" spans="1:7" x14ac:dyDescent="0.35">
      <c r="A106" s="11">
        <v>20821</v>
      </c>
      <c r="B106" s="6">
        <v>315</v>
      </c>
      <c r="C106" s="12">
        <f t="shared" si="7"/>
        <v>383.920117204505</v>
      </c>
      <c r="D106" s="12">
        <f t="shared" si="8"/>
        <v>1.009239699999505</v>
      </c>
      <c r="E106" s="6">
        <f t="shared" si="10"/>
        <v>-64.017604210874396</v>
      </c>
      <c r="F106" s="12">
        <f t="shared" si="6"/>
        <v>323.44981970037509</v>
      </c>
      <c r="G106" s="12">
        <f t="shared" si="9"/>
        <v>71.39945296884693</v>
      </c>
    </row>
    <row r="107" spans="1:7" x14ac:dyDescent="0.35">
      <c r="A107" s="11">
        <v>20852</v>
      </c>
      <c r="B107" s="6">
        <v>301</v>
      </c>
      <c r="C107" s="12">
        <f t="shared" si="7"/>
        <v>385.60160992840792</v>
      </c>
      <c r="D107" s="12">
        <f t="shared" si="8"/>
        <v>1.0092396999992126</v>
      </c>
      <c r="E107" s="6">
        <f t="shared" si="10"/>
        <v>-74.447004124966</v>
      </c>
      <c r="F107" s="12">
        <f t="shared" si="6"/>
        <v>314.71744899839382</v>
      </c>
      <c r="G107" s="12">
        <f t="shared" si="9"/>
        <v>188.16840702353562</v>
      </c>
    </row>
    <row r="108" spans="1:7" x14ac:dyDescent="0.35">
      <c r="A108" s="11">
        <v>20880</v>
      </c>
      <c r="B108" s="6">
        <v>356</v>
      </c>
      <c r="C108" s="12">
        <f t="shared" si="7"/>
        <v>386.13548812083053</v>
      </c>
      <c r="D108" s="12">
        <f t="shared" si="8"/>
        <v>1.0092396999987399</v>
      </c>
      <c r="E108" s="6">
        <f t="shared" si="10"/>
        <v>-38.487587130584799</v>
      </c>
      <c r="F108" s="12">
        <f t="shared" si="6"/>
        <v>351.21567705934916</v>
      </c>
      <c r="G108" s="12">
        <f t="shared" si="9"/>
        <v>22.889746000437889</v>
      </c>
    </row>
    <row r="109" spans="1:7" x14ac:dyDescent="0.35">
      <c r="A109" s="11">
        <v>20911</v>
      </c>
      <c r="B109" s="6">
        <v>348</v>
      </c>
      <c r="C109" s="12">
        <f t="shared" si="7"/>
        <v>390.75969580121432</v>
      </c>
      <c r="D109" s="12">
        <f t="shared" si="8"/>
        <v>1.0092396999989046</v>
      </c>
      <c r="E109" s="6">
        <f t="shared" si="10"/>
        <v>-44.824570672095156</v>
      </c>
      <c r="F109" s="12">
        <f t="shared" si="6"/>
        <v>349.54562748998563</v>
      </c>
      <c r="G109" s="12">
        <f t="shared" si="9"/>
        <v>2.3889643377992908</v>
      </c>
    </row>
    <row r="110" spans="1:7" x14ac:dyDescent="0.35">
      <c r="A110" s="11">
        <v>20941</v>
      </c>
      <c r="B110" s="6">
        <v>355</v>
      </c>
      <c r="C110" s="12">
        <f t="shared" si="7"/>
        <v>394.02890645582681</v>
      </c>
      <c r="D110" s="12">
        <f t="shared" si="8"/>
        <v>1.009239699998852</v>
      </c>
      <c r="E110" s="6">
        <f t="shared" si="10"/>
        <v>-42.800862504119245</v>
      </c>
      <c r="F110" s="12">
        <f t="shared" si="6"/>
        <v>354.86875283823508</v>
      </c>
      <c r="G110" s="12">
        <f t="shared" si="9"/>
        <v>1.722581747134656E-2</v>
      </c>
    </row>
    <row r="111" spans="1:7" x14ac:dyDescent="0.35">
      <c r="A111" s="11">
        <v>20972</v>
      </c>
      <c r="B111" s="6">
        <v>422</v>
      </c>
      <c r="C111" s="12">
        <f t="shared" si="7"/>
        <v>397.69859617251552</v>
      </c>
      <c r="D111" s="12">
        <f t="shared" si="8"/>
        <v>1.0092396999988564</v>
      </c>
      <c r="E111" s="6">
        <f t="shared" si="10"/>
        <v>7.1952330941037141</v>
      </c>
      <c r="F111" s="12">
        <f t="shared" si="6"/>
        <v>408.56844498521968</v>
      </c>
      <c r="G111" s="12">
        <f t="shared" si="9"/>
        <v>180.40667011507023</v>
      </c>
    </row>
    <row r="112" spans="1:7" x14ac:dyDescent="0.35">
      <c r="A112" s="11">
        <v>21002</v>
      </c>
      <c r="B112" s="6">
        <v>465</v>
      </c>
      <c r="C112" s="12">
        <f t="shared" si="7"/>
        <v>404.3390483286401</v>
      </c>
      <c r="D112" s="12">
        <f t="shared" si="8"/>
        <v>1.0092396999993054</v>
      </c>
      <c r="E112" s="6">
        <f t="shared" si="10"/>
        <v>41.724490021062863</v>
      </c>
      <c r="F112" s="12">
        <f t="shared" si="6"/>
        <v>449.79950985426427</v>
      </c>
      <c r="G112" s="12">
        <f t="shared" si="9"/>
        <v>231.05490067060896</v>
      </c>
    </row>
    <row r="113" spans="1:7" x14ac:dyDescent="0.35">
      <c r="A113" s="11">
        <v>21033</v>
      </c>
      <c r="B113" s="6">
        <v>467</v>
      </c>
      <c r="C113" s="12">
        <f t="shared" si="7"/>
        <v>411.43145678282042</v>
      </c>
      <c r="D113" s="12">
        <f t="shared" si="8"/>
        <v>1.009239699999805</v>
      </c>
      <c r="E113" s="6">
        <f t="shared" si="10"/>
        <v>26.872814026519364</v>
      </c>
      <c r="F113" s="12">
        <f t="shared" si="6"/>
        <v>442.10577404049582</v>
      </c>
      <c r="G113" s="12">
        <f t="shared" si="9"/>
        <v>619.72248612285193</v>
      </c>
    </row>
    <row r="114" spans="1:7" x14ac:dyDescent="0.35">
      <c r="A114" s="11">
        <v>21064</v>
      </c>
      <c r="B114" s="6">
        <v>404</v>
      </c>
      <c r="C114" s="12">
        <f t="shared" si="7"/>
        <v>420.72988143174308</v>
      </c>
      <c r="D114" s="12">
        <f t="shared" si="8"/>
        <v>1.0092397000006093</v>
      </c>
      <c r="E114" s="6">
        <f t="shared" si="10"/>
        <v>-26.402709585201698</v>
      </c>
      <c r="F114" s="12">
        <f t="shared" si="6"/>
        <v>398.2145897322626</v>
      </c>
      <c r="G114" s="12">
        <f t="shared" si="9"/>
        <v>33.470971966041382</v>
      </c>
    </row>
    <row r="115" spans="1:7" x14ac:dyDescent="0.35">
      <c r="A115" s="11">
        <v>21094</v>
      </c>
      <c r="B115" s="6">
        <v>347</v>
      </c>
      <c r="C115" s="12">
        <f t="shared" si="7"/>
        <v>425.89478212263464</v>
      </c>
      <c r="D115" s="12">
        <f t="shared" si="8"/>
        <v>1.009239700000792</v>
      </c>
      <c r="E115" s="6">
        <f t="shared" si="10"/>
        <v>-76.20987915627876</v>
      </c>
      <c r="F115" s="12">
        <f t="shared" si="6"/>
        <v>353.62004298507168</v>
      </c>
      <c r="G115" s="12">
        <f t="shared" si="9"/>
        <v>43.824969124196727</v>
      </c>
    </row>
    <row r="116" spans="1:7" x14ac:dyDescent="0.35">
      <c r="A116" s="11">
        <v>21125</v>
      </c>
      <c r="B116" s="6">
        <v>305</v>
      </c>
      <c r="C116" s="12">
        <f t="shared" si="7"/>
        <v>428.36814316776952</v>
      </c>
      <c r="D116" s="12">
        <f t="shared" si="8"/>
        <v>1.0092397000005855</v>
      </c>
      <c r="E116" s="6">
        <f t="shared" si="10"/>
        <v>-112.3842699465548</v>
      </c>
      <c r="F116" s="12">
        <f t="shared" si="6"/>
        <v>319.94186635389275</v>
      </c>
      <c r="G116" s="12">
        <f t="shared" si="9"/>
        <v>223.25937013759219</v>
      </c>
    </row>
    <row r="117" spans="1:7" x14ac:dyDescent="0.35">
      <c r="A117" s="11">
        <v>21155</v>
      </c>
      <c r="B117" s="6">
        <v>336</v>
      </c>
      <c r="C117" s="12">
        <f t="shared" si="7"/>
        <v>429.02680635479146</v>
      </c>
      <c r="D117" s="12">
        <f t="shared" si="8"/>
        <v>1.0092397000001219</v>
      </c>
      <c r="E117" s="6">
        <f t="shared" si="10"/>
        <v>-77.920117204505047</v>
      </c>
      <c r="F117" s="12">
        <f t="shared" si="6"/>
        <v>355.07076813301506</v>
      </c>
      <c r="G117" s="12">
        <f t="shared" si="9"/>
        <v>363.69419718322291</v>
      </c>
    </row>
  </sheetData>
  <mergeCells count="3">
    <mergeCell ref="C1:E1"/>
    <mergeCell ref="I8:J8"/>
    <mergeCell ref="I14:M24"/>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71D3D-B50E-47D3-BA02-805999036983}">
  <sheetPr codeName="Sheet7">
    <tabColor theme="9"/>
  </sheetPr>
  <dimension ref="A1:P117"/>
  <sheetViews>
    <sheetView workbookViewId="0">
      <selection activeCell="E8" sqref="E8"/>
    </sheetView>
  </sheetViews>
  <sheetFormatPr defaultRowHeight="14.5" x14ac:dyDescent="0.35"/>
  <cols>
    <col min="1" max="1" width="10.453125" style="6" bestFit="1" customWidth="1"/>
    <col min="2" max="2" width="22.36328125" style="6" bestFit="1" customWidth="1"/>
    <col min="3" max="3" width="7.6328125" style="6" bestFit="1" customWidth="1"/>
    <col min="4" max="5" width="17.26953125" style="6" customWidth="1"/>
    <col min="6" max="6" width="7.6328125" style="6" bestFit="1" customWidth="1"/>
    <col min="7" max="7" width="12.54296875" style="6" bestFit="1" customWidth="1"/>
    <col min="8" max="8" width="8.7265625" style="6"/>
    <col min="9" max="9" width="16.7265625" style="6" bestFit="1" customWidth="1"/>
    <col min="10" max="10" width="8.81640625" style="6" bestFit="1" customWidth="1"/>
    <col min="11" max="11" width="12.453125" style="6" customWidth="1"/>
    <col min="12" max="12" width="10.6328125" style="6" bestFit="1" customWidth="1"/>
    <col min="13" max="16384" width="8.7265625" style="6"/>
  </cols>
  <sheetData>
    <row r="1" spans="1:16" ht="15" thickBot="1" x14ac:dyDescent="0.4">
      <c r="C1" s="43" t="s">
        <v>0</v>
      </c>
      <c r="D1" s="43"/>
      <c r="E1" s="43"/>
      <c r="I1" s="8"/>
      <c r="J1" s="8"/>
    </row>
    <row r="2" spans="1:16" ht="15" thickBot="1" x14ac:dyDescent="0.4">
      <c r="D2" s="6" t="s">
        <v>1</v>
      </c>
      <c r="E2" s="3">
        <v>0.78283480000000005</v>
      </c>
      <c r="I2" s="8"/>
      <c r="J2" s="8"/>
    </row>
    <row r="3" spans="1:16" ht="15" thickBot="1" x14ac:dyDescent="0.4">
      <c r="D3" s="6" t="s">
        <v>9</v>
      </c>
      <c r="E3" s="3">
        <v>0</v>
      </c>
      <c r="H3" s="18"/>
      <c r="I3" s="13"/>
      <c r="J3" s="13"/>
      <c r="K3" s="13"/>
      <c r="L3" s="13"/>
    </row>
    <row r="4" spans="1:16" ht="15" thickBot="1" x14ac:dyDescent="0.4">
      <c r="D4" s="6" t="s">
        <v>10</v>
      </c>
      <c r="E4" s="3">
        <v>0</v>
      </c>
      <c r="I4" s="14"/>
      <c r="J4" s="14"/>
      <c r="K4" s="13"/>
      <c r="L4" s="13"/>
      <c r="P4" s="7"/>
    </row>
    <row r="5" spans="1:16" ht="15" thickBot="1" x14ac:dyDescent="0.4">
      <c r="D5" s="6" t="s">
        <v>11</v>
      </c>
      <c r="E5" s="4">
        <v>12</v>
      </c>
      <c r="I5" s="14"/>
      <c r="J5" s="14"/>
      <c r="K5" s="13"/>
      <c r="L5" s="13"/>
    </row>
    <row r="6" spans="1:16" x14ac:dyDescent="0.35">
      <c r="H6" s="18"/>
      <c r="I6" s="13"/>
      <c r="J6" s="13"/>
      <c r="K6" s="13"/>
      <c r="L6" s="13"/>
    </row>
    <row r="8" spans="1:16" x14ac:dyDescent="0.35">
      <c r="A8" s="5" t="s">
        <v>2</v>
      </c>
      <c r="B8" s="5" t="s">
        <v>3</v>
      </c>
      <c r="C8" s="5" t="s">
        <v>4</v>
      </c>
      <c r="D8" s="5" t="s">
        <v>5</v>
      </c>
      <c r="E8" s="5" t="s">
        <v>6</v>
      </c>
      <c r="F8" s="5" t="s">
        <v>18</v>
      </c>
      <c r="G8" s="5" t="s">
        <v>7</v>
      </c>
      <c r="I8" s="43" t="s">
        <v>16</v>
      </c>
      <c r="J8" s="43"/>
      <c r="M8" s="7"/>
    </row>
    <row r="9" spans="1:16" ht="15" thickBot="1" x14ac:dyDescent="0.4">
      <c r="A9" s="5"/>
      <c r="B9" s="5"/>
      <c r="C9" s="5"/>
      <c r="D9" s="5"/>
      <c r="E9" s="5"/>
      <c r="F9" s="5"/>
      <c r="G9" s="5"/>
      <c r="I9" s="5"/>
      <c r="J9" s="5"/>
    </row>
    <row r="10" spans="1:16" ht="15" thickBot="1" x14ac:dyDescent="0.4">
      <c r="A10" s="11">
        <v>17899</v>
      </c>
      <c r="B10" s="6">
        <v>112</v>
      </c>
      <c r="C10" s="3">
        <v>96.870742000000007</v>
      </c>
      <c r="D10" s="3">
        <v>1.8088412</v>
      </c>
      <c r="E10" s="1">
        <v>1.147035</v>
      </c>
      <c r="F10" s="12">
        <f>(C10+D10)*E10</f>
        <v>113.18893571581201</v>
      </c>
      <c r="G10" s="12">
        <f t="shared" ref="G10" si="0">(F10-B10)^2</f>
        <v>1.4135681363334112</v>
      </c>
      <c r="I10" s="9" t="s">
        <v>8</v>
      </c>
      <c r="J10" s="16">
        <f>SUM(G10:G117)</f>
        <v>5137.9913261914962</v>
      </c>
      <c r="O10" s="7"/>
    </row>
    <row r="11" spans="1:16" ht="15" thickBot="1" x14ac:dyDescent="0.4">
      <c r="A11" s="11">
        <v>17930</v>
      </c>
      <c r="B11" s="6">
        <v>118</v>
      </c>
      <c r="C11" s="12">
        <f>(B10/E10)*$E$2+(C10+D10)*(1-$E$2)</f>
        <v>97.868151767392845</v>
      </c>
      <c r="D11" s="12">
        <f>(C11-C10)*$E$3+D10*(1-$E$3)</f>
        <v>1.8088412</v>
      </c>
      <c r="E11" s="1">
        <v>1.1133329999999999</v>
      </c>
      <c r="F11" s="12">
        <f t="shared" ref="F11:F74" si="1">(C11+D11)*E11</f>
        <v>110.97368561136638</v>
      </c>
      <c r="G11" s="12">
        <f>(F11-B11)^2</f>
        <v>49.369093887919874</v>
      </c>
      <c r="O11" s="7"/>
    </row>
    <row r="12" spans="1:16" ht="15" thickBot="1" x14ac:dyDescent="0.4">
      <c r="A12" s="11">
        <v>17958</v>
      </c>
      <c r="B12" s="6">
        <v>132</v>
      </c>
      <c r="C12" s="12">
        <f t="shared" ref="C12:C75" si="2">(B11/E11)*$E$2+(C11+D11)*(1-$E$2)</f>
        <v>104.61751248775479</v>
      </c>
      <c r="D12" s="12">
        <f t="shared" ref="D12:D75" si="3">(C12-C11)*$E$3+D11*(1-$E$3)</f>
        <v>1.8088412</v>
      </c>
      <c r="E12" s="1">
        <v>1.2832307999999999</v>
      </c>
      <c r="F12" s="12">
        <f t="shared" si="1"/>
        <v>136.56957498382053</v>
      </c>
      <c r="G12" s="12">
        <f t="shared" ref="G12:G75" si="4">(F12-B12)^2</f>
        <v>20.881015532758397</v>
      </c>
      <c r="O12" s="7"/>
    </row>
    <row r="13" spans="1:16" ht="15" thickBot="1" x14ac:dyDescent="0.4">
      <c r="A13" s="11">
        <v>17989</v>
      </c>
      <c r="B13" s="6">
        <v>129</v>
      </c>
      <c r="C13" s="12">
        <f t="shared" si="2"/>
        <v>103.63868500138588</v>
      </c>
      <c r="D13" s="12">
        <f t="shared" si="3"/>
        <v>1.8088412</v>
      </c>
      <c r="E13" s="1">
        <v>1.2409722000000001</v>
      </c>
      <c r="F13" s="12">
        <f t="shared" si="1"/>
        <v>130.85744857469149</v>
      </c>
      <c r="G13" s="12">
        <f t="shared" si="4"/>
        <v>3.4501152076234431</v>
      </c>
      <c r="M13" s="7"/>
      <c r="O13" s="7"/>
    </row>
    <row r="14" spans="1:16" ht="15" thickBot="1" x14ac:dyDescent="0.4">
      <c r="A14" s="11">
        <v>18019</v>
      </c>
      <c r="B14" s="6">
        <v>121</v>
      </c>
      <c r="C14" s="12">
        <f t="shared" si="2"/>
        <v>104.27580343154551</v>
      </c>
      <c r="D14" s="12">
        <f t="shared" si="3"/>
        <v>1.8088412</v>
      </c>
      <c r="E14" s="1">
        <v>1.2383476</v>
      </c>
      <c r="F14" s="12">
        <f t="shared" si="1"/>
        <v>131.36966507632727</v>
      </c>
      <c r="G14" s="12">
        <f t="shared" si="4"/>
        <v>107.52995379520137</v>
      </c>
      <c r="I14" s="34" t="s">
        <v>21</v>
      </c>
      <c r="J14" s="35"/>
      <c r="K14" s="35"/>
      <c r="L14" s="35"/>
      <c r="M14" s="36"/>
      <c r="O14" s="7"/>
    </row>
    <row r="15" spans="1:16" ht="15" thickBot="1" x14ac:dyDescent="0.4">
      <c r="A15" s="11">
        <v>18050</v>
      </c>
      <c r="B15" s="6">
        <v>135</v>
      </c>
      <c r="C15" s="12">
        <f t="shared" si="2"/>
        <v>99.529348940663851</v>
      </c>
      <c r="D15" s="12">
        <f t="shared" si="3"/>
        <v>1.8088412</v>
      </c>
      <c r="E15" s="1">
        <v>1.4130033</v>
      </c>
      <c r="F15" s="12">
        <f t="shared" si="1"/>
        <v>143.1911970847855</v>
      </c>
      <c r="G15" s="12">
        <f t="shared" si="4"/>
        <v>67.095709681798482</v>
      </c>
      <c r="I15" s="37"/>
      <c r="J15" s="38"/>
      <c r="K15" s="38"/>
      <c r="L15" s="38"/>
      <c r="M15" s="39"/>
      <c r="O15" s="7"/>
    </row>
    <row r="16" spans="1:16" ht="15" thickBot="1" x14ac:dyDescent="0.4">
      <c r="A16" s="11">
        <v>18080</v>
      </c>
      <c r="B16" s="6">
        <v>148</v>
      </c>
      <c r="C16" s="12">
        <f t="shared" si="2"/>
        <v>96.800087411796468</v>
      </c>
      <c r="D16" s="12">
        <f t="shared" si="3"/>
        <v>1.8088412</v>
      </c>
      <c r="E16" s="1">
        <v>1.5573927000000001</v>
      </c>
      <c r="F16" s="12">
        <f t="shared" si="1"/>
        <v>153.57282557483296</v>
      </c>
      <c r="G16" s="12">
        <f t="shared" si="4"/>
        <v>31.05638488751233</v>
      </c>
      <c r="I16" s="37"/>
      <c r="J16" s="38"/>
      <c r="K16" s="38"/>
      <c r="L16" s="38"/>
      <c r="M16" s="39"/>
      <c r="O16" s="7"/>
    </row>
    <row r="17" spans="1:15" ht="15" thickBot="1" x14ac:dyDescent="0.4">
      <c r="A17" s="11">
        <v>18111</v>
      </c>
      <c r="B17" s="6">
        <v>148</v>
      </c>
      <c r="C17" s="12">
        <f t="shared" si="2"/>
        <v>95.807707189409399</v>
      </c>
      <c r="D17" s="12">
        <f t="shared" si="3"/>
        <v>1.8088412</v>
      </c>
      <c r="E17" s="1">
        <v>1.5314877</v>
      </c>
      <c r="F17" s="12">
        <f t="shared" si="1"/>
        <v>149.49854317483531</v>
      </c>
      <c r="G17" s="12">
        <f t="shared" si="4"/>
        <v>2.2456316468454758</v>
      </c>
      <c r="I17" s="37"/>
      <c r="J17" s="38"/>
      <c r="K17" s="38"/>
      <c r="L17" s="38"/>
      <c r="M17" s="39"/>
      <c r="O17" s="7"/>
    </row>
    <row r="18" spans="1:15" ht="15" thickBot="1" x14ac:dyDescent="0.4">
      <c r="A18" s="11">
        <v>18142</v>
      </c>
      <c r="B18" s="6">
        <v>136</v>
      </c>
      <c r="C18" s="12">
        <f t="shared" si="2"/>
        <v>96.850553503153662</v>
      </c>
      <c r="D18" s="12">
        <f t="shared" si="3"/>
        <v>1.8088412</v>
      </c>
      <c r="E18" s="1">
        <v>1.3376906</v>
      </c>
      <c r="F18" s="12">
        <f t="shared" si="1"/>
        <v>131.97574489609843</v>
      </c>
      <c r="G18" s="12">
        <f t="shared" si="4"/>
        <v>16.194629141277808</v>
      </c>
      <c r="I18" s="37"/>
      <c r="J18" s="38"/>
      <c r="K18" s="38"/>
      <c r="L18" s="38"/>
      <c r="M18" s="39"/>
      <c r="O18" s="7"/>
    </row>
    <row r="19" spans="1:15" ht="15" thickBot="1" x14ac:dyDescent="0.4">
      <c r="A19" s="11">
        <v>18172</v>
      </c>
      <c r="B19" s="6">
        <v>119</v>
      </c>
      <c r="C19" s="12">
        <f t="shared" si="2"/>
        <v>101.01444372526069</v>
      </c>
      <c r="D19" s="12">
        <f t="shared" si="3"/>
        <v>1.8088412</v>
      </c>
      <c r="E19" s="1">
        <v>1.1563346999999999</v>
      </c>
      <c r="F19" s="12">
        <f t="shared" si="1"/>
        <v>118.89813232706584</v>
      </c>
      <c r="G19" s="12">
        <f t="shared" si="4"/>
        <v>1.0377022789021422E-2</v>
      </c>
      <c r="I19" s="37"/>
      <c r="J19" s="38"/>
      <c r="K19" s="38"/>
      <c r="L19" s="38"/>
      <c r="M19" s="39"/>
      <c r="O19" s="7"/>
    </row>
    <row r="20" spans="1:15" ht="15" thickBot="1" x14ac:dyDescent="0.4">
      <c r="A20" s="11">
        <v>18203</v>
      </c>
      <c r="B20" s="6">
        <v>104</v>
      </c>
      <c r="C20" s="12">
        <f t="shared" si="2"/>
        <v>102.89224900578847</v>
      </c>
      <c r="D20" s="12">
        <f t="shared" si="3"/>
        <v>1.8088412</v>
      </c>
      <c r="E20" s="1">
        <v>1.0057966</v>
      </c>
      <c r="F20" s="12">
        <f t="shared" si="1"/>
        <v>105.30800054527535</v>
      </c>
      <c r="G20" s="12">
        <f t="shared" si="4"/>
        <v>1.7108654264406085</v>
      </c>
      <c r="I20" s="37"/>
      <c r="J20" s="38"/>
      <c r="K20" s="38"/>
      <c r="L20" s="38"/>
      <c r="M20" s="39"/>
      <c r="O20" s="7"/>
    </row>
    <row r="21" spans="1:15" ht="15" thickBot="1" x14ac:dyDescent="0.4">
      <c r="A21" s="11">
        <v>18233</v>
      </c>
      <c r="B21" s="6">
        <v>118</v>
      </c>
      <c r="C21" s="12">
        <f t="shared" si="2"/>
        <v>103.68304307254053</v>
      </c>
      <c r="D21" s="12">
        <f t="shared" si="3"/>
        <v>1.8088412</v>
      </c>
      <c r="E21" s="1">
        <v>1.1276615999999999</v>
      </c>
      <c r="F21" s="12">
        <f t="shared" si="1"/>
        <v>118.95914700578788</v>
      </c>
      <c r="G21" s="12">
        <f t="shared" si="4"/>
        <v>0.91996297871186261</v>
      </c>
      <c r="I21" s="37"/>
      <c r="J21" s="38"/>
      <c r="K21" s="38"/>
      <c r="L21" s="38"/>
      <c r="M21" s="39"/>
    </row>
    <row r="22" spans="1:15" x14ac:dyDescent="0.35">
      <c r="A22" s="11">
        <v>18264</v>
      </c>
      <c r="B22" s="6">
        <v>115</v>
      </c>
      <c r="C22" s="12">
        <f t="shared" si="2"/>
        <v>104.82603411461501</v>
      </c>
      <c r="D22" s="12">
        <f t="shared" si="3"/>
        <v>1.8088412</v>
      </c>
      <c r="E22" s="15">
        <f>$E$4*(B10/(C10+D10))+(1-$E$4)*E10</f>
        <v>1.147035</v>
      </c>
      <c r="F22" s="12">
        <f t="shared" si="1"/>
        <v>122.31393420649944</v>
      </c>
      <c r="G22" s="12">
        <f t="shared" si="4"/>
        <v>53.493633577002583</v>
      </c>
      <c r="I22" s="37"/>
      <c r="J22" s="38"/>
      <c r="K22" s="38"/>
      <c r="L22" s="38"/>
      <c r="M22" s="39"/>
    </row>
    <row r="23" spans="1:15" x14ac:dyDescent="0.35">
      <c r="A23" s="11">
        <v>18295</v>
      </c>
      <c r="B23" s="6">
        <v>126</v>
      </c>
      <c r="C23" s="12">
        <f t="shared" si="2"/>
        <v>101.6432209869283</v>
      </c>
      <c r="D23" s="12">
        <f t="shared" si="3"/>
        <v>1.8088412</v>
      </c>
      <c r="E23" s="6">
        <f t="shared" ref="E23:E86" si="5">$E$4*(B11/(C11+D11))+(1-$E$4)*E11</f>
        <v>1.1133329999999999</v>
      </c>
      <c r="F23" s="12">
        <f t="shared" si="1"/>
        <v>115.17659475075943</v>
      </c>
      <c r="G23" s="12">
        <f t="shared" si="4"/>
        <v>117.14610118928822</v>
      </c>
      <c r="I23" s="37"/>
      <c r="J23" s="38"/>
      <c r="K23" s="38"/>
      <c r="L23" s="38"/>
      <c r="M23" s="39"/>
    </row>
    <row r="24" spans="1:15" ht="15" thickBot="1" x14ac:dyDescent="0.4">
      <c r="A24" s="11">
        <v>18323</v>
      </c>
      <c r="B24" s="6">
        <v>141</v>
      </c>
      <c r="C24" s="12">
        <f t="shared" si="2"/>
        <v>111.06248807353023</v>
      </c>
      <c r="D24" s="12">
        <f t="shared" si="3"/>
        <v>1.8088412</v>
      </c>
      <c r="E24" s="6">
        <f t="shared" si="5"/>
        <v>1.2832307999999999</v>
      </c>
      <c r="F24" s="12">
        <f t="shared" si="1"/>
        <v>144.8399661607356</v>
      </c>
      <c r="G24" s="12">
        <f t="shared" si="4"/>
        <v>14.7453401155945</v>
      </c>
      <c r="I24" s="40"/>
      <c r="J24" s="41"/>
      <c r="K24" s="41"/>
      <c r="L24" s="41"/>
      <c r="M24" s="42"/>
    </row>
    <row r="25" spans="1:15" x14ac:dyDescent="0.35">
      <c r="A25" s="11">
        <v>18354</v>
      </c>
      <c r="B25" s="6">
        <v>135</v>
      </c>
      <c r="C25" s="12">
        <f t="shared" si="2"/>
        <v>110.52875836466004</v>
      </c>
      <c r="D25" s="12">
        <f t="shared" si="3"/>
        <v>1.8088412</v>
      </c>
      <c r="E25" s="6">
        <f t="shared" si="5"/>
        <v>1.2409722000000001</v>
      </c>
      <c r="F25" s="12">
        <f t="shared" si="1"/>
        <v>139.40783807447522</v>
      </c>
      <c r="G25" s="12">
        <f t="shared" si="4"/>
        <v>19.429036490793436</v>
      </c>
    </row>
    <row r="26" spans="1:15" x14ac:dyDescent="0.35">
      <c r="A26" s="11">
        <v>18384</v>
      </c>
      <c r="B26" s="6">
        <v>125</v>
      </c>
      <c r="C26" s="12">
        <f t="shared" si="2"/>
        <v>109.55703039682196</v>
      </c>
      <c r="D26" s="12">
        <f t="shared" si="3"/>
        <v>1.8088412</v>
      </c>
      <c r="E26" s="6">
        <f t="shared" si="5"/>
        <v>1.2383476</v>
      </c>
      <c r="F26" s="12">
        <f t="shared" si="1"/>
        <v>137.90965981383263</v>
      </c>
      <c r="G26" s="12">
        <f t="shared" si="4"/>
        <v>166.65931650888521</v>
      </c>
    </row>
    <row r="27" spans="1:15" x14ac:dyDescent="0.35">
      <c r="A27" s="11">
        <v>18415</v>
      </c>
      <c r="B27" s="6">
        <v>149</v>
      </c>
      <c r="C27" s="12">
        <f t="shared" si="2"/>
        <v>103.20489082015658</v>
      </c>
      <c r="D27" s="12">
        <f t="shared" si="3"/>
        <v>1.8088412</v>
      </c>
      <c r="E27" s="6">
        <f t="shared" si="5"/>
        <v>1.4130033</v>
      </c>
      <c r="F27" s="12">
        <f t="shared" si="1"/>
        <v>148.38474988979692</v>
      </c>
      <c r="G27" s="12">
        <f t="shared" si="4"/>
        <v>0.37853269810489998</v>
      </c>
    </row>
    <row r="28" spans="1:15" x14ac:dyDescent="0.35">
      <c r="A28" s="11">
        <v>18445</v>
      </c>
      <c r="B28" s="6">
        <v>170</v>
      </c>
      <c r="C28" s="12">
        <f t="shared" si="2"/>
        <v>105.35459406695492</v>
      </c>
      <c r="D28" s="12">
        <f t="shared" si="3"/>
        <v>1.8088412</v>
      </c>
      <c r="E28" s="6">
        <f t="shared" si="5"/>
        <v>1.5573927000000001</v>
      </c>
      <c r="F28" s="12">
        <f t="shared" si="1"/>
        <v>166.89555179167814</v>
      </c>
      <c r="G28" s="12">
        <f t="shared" si="4"/>
        <v>9.6375986781527789</v>
      </c>
    </row>
    <row r="29" spans="1:15" x14ac:dyDescent="0.35">
      <c r="A29" s="11">
        <v>18476</v>
      </c>
      <c r="B29" s="6">
        <v>170</v>
      </c>
      <c r="C29" s="12">
        <f t="shared" si="2"/>
        <v>108.72390880216027</v>
      </c>
      <c r="D29" s="12">
        <f t="shared" si="3"/>
        <v>1.8088412</v>
      </c>
      <c r="E29" s="6">
        <f t="shared" si="5"/>
        <v>1.5314877</v>
      </c>
      <c r="F29" s="12">
        <f t="shared" si="1"/>
        <v>169.27954707548344</v>
      </c>
      <c r="G29" s="12">
        <f t="shared" si="4"/>
        <v>0.51905241644447064</v>
      </c>
    </row>
    <row r="30" spans="1:15" x14ac:dyDescent="0.35">
      <c r="A30" s="11">
        <v>18507</v>
      </c>
      <c r="B30" s="6">
        <v>158</v>
      </c>
      <c r="C30" s="12">
        <f t="shared" si="2"/>
        <v>110.90101650607888</v>
      </c>
      <c r="D30" s="12">
        <f t="shared" si="3"/>
        <v>1.8088412</v>
      </c>
      <c r="E30" s="6">
        <f t="shared" si="5"/>
        <v>1.3376906</v>
      </c>
      <c r="F30" s="12">
        <f t="shared" si="1"/>
        <v>150.77091718075928</v>
      </c>
      <c r="G30" s="12">
        <f t="shared" si="4"/>
        <v>52.259638407441301</v>
      </c>
    </row>
    <row r="31" spans="1:15" x14ac:dyDescent="0.35">
      <c r="A31" s="11">
        <v>18537</v>
      </c>
      <c r="B31" s="6">
        <v>133</v>
      </c>
      <c r="C31" s="12">
        <f t="shared" si="2"/>
        <v>116.94041565646273</v>
      </c>
      <c r="D31" s="12">
        <f t="shared" si="3"/>
        <v>1.8088412</v>
      </c>
      <c r="E31" s="6">
        <f t="shared" si="5"/>
        <v>1.1563346999999999</v>
      </c>
      <c r="F31" s="12">
        <f t="shared" si="1"/>
        <v>137.31388630234076</v>
      </c>
      <c r="G31" s="12">
        <f t="shared" si="4"/>
        <v>18.609615029523255</v>
      </c>
    </row>
    <row r="32" spans="1:15" x14ac:dyDescent="0.35">
      <c r="A32" s="11">
        <v>18568</v>
      </c>
      <c r="B32" s="6">
        <v>114</v>
      </c>
      <c r="C32" s="12">
        <f t="shared" si="2"/>
        <v>115.82876997605027</v>
      </c>
      <c r="D32" s="12">
        <f t="shared" si="3"/>
        <v>1.8088412</v>
      </c>
      <c r="E32" s="6">
        <f t="shared" si="5"/>
        <v>1.0057966</v>
      </c>
      <c r="F32" s="12">
        <f t="shared" si="1"/>
        <v>118.31950935299336</v>
      </c>
      <c r="G32" s="12">
        <f t="shared" si="4"/>
        <v>18.658161050597155</v>
      </c>
    </row>
    <row r="33" spans="1:7" x14ac:dyDescent="0.35">
      <c r="A33" s="11">
        <v>18598</v>
      </c>
      <c r="B33" s="6">
        <v>140</v>
      </c>
      <c r="C33" s="12">
        <f t="shared" si="2"/>
        <v>114.27563695536917</v>
      </c>
      <c r="D33" s="12">
        <f t="shared" si="3"/>
        <v>1.8088412</v>
      </c>
      <c r="E33" s="6">
        <f t="shared" si="5"/>
        <v>1.1276615999999999</v>
      </c>
      <c r="F33" s="12">
        <f t="shared" si="1"/>
        <v>130.90400837184865</v>
      </c>
      <c r="G33" s="12">
        <f t="shared" si="4"/>
        <v>82.737063699399499</v>
      </c>
    </row>
    <row r="34" spans="1:7" x14ac:dyDescent="0.35">
      <c r="A34" s="11">
        <v>18629</v>
      </c>
      <c r="B34" s="6">
        <v>145</v>
      </c>
      <c r="C34" s="12">
        <f t="shared" si="2"/>
        <v>122.39901328454758</v>
      </c>
      <c r="D34" s="12">
        <f t="shared" si="3"/>
        <v>1.8088412</v>
      </c>
      <c r="E34" s="6">
        <f t="shared" si="5"/>
        <v>1.147035</v>
      </c>
      <c r="F34" s="12">
        <f t="shared" si="1"/>
        <v>142.47075636868303</v>
      </c>
      <c r="G34" s="12">
        <f t="shared" si="4"/>
        <v>6.3970733465574687</v>
      </c>
    </row>
    <row r="35" spans="1:7" x14ac:dyDescent="0.35">
      <c r="A35" s="11">
        <v>18660</v>
      </c>
      <c r="B35" s="6">
        <v>150</v>
      </c>
      <c r="C35" s="12">
        <f t="shared" si="2"/>
        <v>125.93402668702902</v>
      </c>
      <c r="D35" s="12">
        <f t="shared" si="3"/>
        <v>1.8088412</v>
      </c>
      <c r="E35" s="6">
        <f t="shared" si="5"/>
        <v>1.1133329999999999</v>
      </c>
      <c r="F35" s="12">
        <f t="shared" si="1"/>
        <v>142.22035033326966</v>
      </c>
      <c r="G35" s="12">
        <f t="shared" si="4"/>
        <v>60.522948937057429</v>
      </c>
    </row>
    <row r="36" spans="1:7" x14ac:dyDescent="0.35">
      <c r="A36" s="11">
        <v>18688</v>
      </c>
      <c r="B36" s="6">
        <v>178</v>
      </c>
      <c r="C36" s="12">
        <f t="shared" si="2"/>
        <v>133.21309152265727</v>
      </c>
      <c r="D36" s="12">
        <f t="shared" si="3"/>
        <v>1.8088412</v>
      </c>
      <c r="E36" s="6">
        <f t="shared" si="5"/>
        <v>1.2832307999999999</v>
      </c>
      <c r="F36" s="12">
        <f t="shared" si="1"/>
        <v>173.26430274524162</v>
      </c>
      <c r="G36" s="12">
        <f t="shared" si="4"/>
        <v>22.426828488726038</v>
      </c>
    </row>
    <row r="37" spans="1:7" x14ac:dyDescent="0.35">
      <c r="A37" s="11">
        <v>18719</v>
      </c>
      <c r="B37" s="6">
        <v>163</v>
      </c>
      <c r="C37" s="12">
        <f t="shared" si="2"/>
        <v>137.91094428105293</v>
      </c>
      <c r="D37" s="12">
        <f t="shared" si="3"/>
        <v>1.8088412</v>
      </c>
      <c r="E37" s="6">
        <f t="shared" si="5"/>
        <v>1.2409722000000001</v>
      </c>
      <c r="F37" s="12">
        <f t="shared" si="1"/>
        <v>173.38836957195031</v>
      </c>
      <c r="G37" s="12">
        <f t="shared" si="4"/>
        <v>107.918222363423</v>
      </c>
    </row>
    <row r="38" spans="1:7" x14ac:dyDescent="0.35">
      <c r="A38" s="11">
        <v>18749</v>
      </c>
      <c r="B38" s="6">
        <v>172</v>
      </c>
      <c r="C38" s="12">
        <f t="shared" si="2"/>
        <v>133.16655470264885</v>
      </c>
      <c r="D38" s="12">
        <f t="shared" si="3"/>
        <v>1.8088412</v>
      </c>
      <c r="E38" s="6">
        <f t="shared" si="5"/>
        <v>1.2383476</v>
      </c>
      <c r="F38" s="12">
        <f t="shared" si="1"/>
        <v>167.14645757509501</v>
      </c>
      <c r="G38" s="12">
        <f t="shared" si="4"/>
        <v>23.556874070352578</v>
      </c>
    </row>
    <row r="39" spans="1:7" x14ac:dyDescent="0.35">
      <c r="A39" s="11">
        <v>18780</v>
      </c>
      <c r="B39" s="6">
        <v>178</v>
      </c>
      <c r="C39" s="12">
        <f t="shared" si="2"/>
        <v>138.04361512759991</v>
      </c>
      <c r="D39" s="12">
        <f t="shared" si="3"/>
        <v>1.8088412</v>
      </c>
      <c r="E39" s="6">
        <f t="shared" si="5"/>
        <v>1.4130033</v>
      </c>
      <c r="F39" s="12">
        <f t="shared" si="1"/>
        <v>197.61198230400453</v>
      </c>
      <c r="G39" s="12">
        <f t="shared" si="4"/>
        <v>384.62984989258672</v>
      </c>
    </row>
    <row r="40" spans="1:7" x14ac:dyDescent="0.35">
      <c r="A40" s="11">
        <v>18810</v>
      </c>
      <c r="B40" s="6">
        <v>199</v>
      </c>
      <c r="C40" s="12">
        <f t="shared" si="2"/>
        <v>128.98698825363365</v>
      </c>
      <c r="D40" s="12">
        <f t="shared" si="3"/>
        <v>1.8088412</v>
      </c>
      <c r="E40" s="6">
        <f t="shared" si="5"/>
        <v>1.5573927000000001</v>
      </c>
      <c r="F40" s="12">
        <f t="shared" si="1"/>
        <v>203.70046998153404</v>
      </c>
      <c r="G40" s="12">
        <f t="shared" si="4"/>
        <v>22.094418047302632</v>
      </c>
    </row>
    <row r="41" spans="1:7" x14ac:dyDescent="0.35">
      <c r="A41" s="11">
        <v>18841</v>
      </c>
      <c r="B41" s="6">
        <v>199</v>
      </c>
      <c r="C41" s="12">
        <f t="shared" si="2"/>
        <v>128.43310393302463</v>
      </c>
      <c r="D41" s="12">
        <f t="shared" si="3"/>
        <v>1.8088412</v>
      </c>
      <c r="E41" s="6">
        <f t="shared" si="5"/>
        <v>1.5314877</v>
      </c>
      <c r="F41" s="12">
        <f t="shared" si="1"/>
        <v>199.46393699530205</v>
      </c>
      <c r="G41" s="12">
        <f t="shared" si="4"/>
        <v>0.21523753560989356</v>
      </c>
    </row>
    <row r="42" spans="1:7" x14ac:dyDescent="0.35">
      <c r="A42" s="11">
        <v>18872</v>
      </c>
      <c r="B42" s="6">
        <v>184</v>
      </c>
      <c r="C42" s="12">
        <f t="shared" si="2"/>
        <v>130.00479923565314</v>
      </c>
      <c r="D42" s="12">
        <f t="shared" si="3"/>
        <v>1.8088412</v>
      </c>
      <c r="E42" s="6">
        <f t="shared" si="5"/>
        <v>1.3376906</v>
      </c>
      <c r="F42" s="12">
        <f t="shared" si="1"/>
        <v>176.32586776255309</v>
      </c>
      <c r="G42" s="12">
        <f t="shared" si="4"/>
        <v>58.892305597821952</v>
      </c>
    </row>
    <row r="43" spans="1:7" x14ac:dyDescent="0.35">
      <c r="A43" s="11">
        <v>18902</v>
      </c>
      <c r="B43" s="6">
        <v>162</v>
      </c>
      <c r="C43" s="12">
        <f t="shared" si="2"/>
        <v>136.30464738096271</v>
      </c>
      <c r="D43" s="12">
        <f t="shared" si="3"/>
        <v>1.8088412</v>
      </c>
      <c r="E43" s="6">
        <f t="shared" si="5"/>
        <v>1.1563346999999999</v>
      </c>
      <c r="F43" s="12">
        <f t="shared" si="1"/>
        <v>159.7054193842209</v>
      </c>
      <c r="G43" s="12">
        <f t="shared" si="4"/>
        <v>5.2651002023091795</v>
      </c>
    </row>
    <row r="44" spans="1:7" x14ac:dyDescent="0.35">
      <c r="A44" s="11">
        <v>18933</v>
      </c>
      <c r="B44" s="6">
        <v>146</v>
      </c>
      <c r="C44" s="12">
        <f t="shared" si="2"/>
        <v>139.66691213336262</v>
      </c>
      <c r="D44" s="12">
        <f t="shared" si="3"/>
        <v>1.8088412</v>
      </c>
      <c r="E44" s="6">
        <f t="shared" si="5"/>
        <v>1.0057966</v>
      </c>
      <c r="F44" s="12">
        <f t="shared" si="1"/>
        <v>142.29583168513477</v>
      </c>
      <c r="G44" s="12">
        <f t="shared" si="4"/>
        <v>13.720862904851504</v>
      </c>
    </row>
    <row r="45" spans="1:7" x14ac:dyDescent="0.35">
      <c r="A45" s="11">
        <v>18963</v>
      </c>
      <c r="B45" s="6">
        <v>166</v>
      </c>
      <c r="C45" s="12">
        <f t="shared" si="2"/>
        <v>144.3587933654465</v>
      </c>
      <c r="D45" s="12">
        <f t="shared" si="3"/>
        <v>1.8088412</v>
      </c>
      <c r="E45" s="6">
        <f t="shared" si="5"/>
        <v>1.1276615999999999</v>
      </c>
      <c r="F45" s="12">
        <f t="shared" si="1"/>
        <v>164.82762866228668</v>
      </c>
      <c r="G45" s="12">
        <f t="shared" si="4"/>
        <v>1.3744545534917081</v>
      </c>
    </row>
    <row r="46" spans="1:7" x14ac:dyDescent="0.35">
      <c r="A46" s="11">
        <v>18994</v>
      </c>
      <c r="B46" s="6">
        <v>171</v>
      </c>
      <c r="C46" s="12">
        <f t="shared" si="2"/>
        <v>146.98150734579525</v>
      </c>
      <c r="D46" s="12">
        <f t="shared" si="3"/>
        <v>1.8088412</v>
      </c>
      <c r="E46" s="6">
        <f t="shared" si="5"/>
        <v>1.147035</v>
      </c>
      <c r="F46" s="12">
        <f t="shared" si="1"/>
        <v>170.66773744422625</v>
      </c>
      <c r="G46" s="12">
        <f t="shared" si="4"/>
        <v>0.11039840596930593</v>
      </c>
    </row>
    <row r="47" spans="1:7" x14ac:dyDescent="0.35">
      <c r="A47" s="11">
        <v>19025</v>
      </c>
      <c r="B47" s="6">
        <v>180</v>
      </c>
      <c r="C47" s="12">
        <f t="shared" si="2"/>
        <v>149.01711293519628</v>
      </c>
      <c r="D47" s="12">
        <f t="shared" si="3"/>
        <v>1.8088412</v>
      </c>
      <c r="E47" s="6">
        <f t="shared" si="5"/>
        <v>1.1133329999999999</v>
      </c>
      <c r="F47" s="12">
        <f t="shared" si="1"/>
        <v>167.91951199520045</v>
      </c>
      <c r="G47" s="12">
        <f t="shared" si="4"/>
        <v>145.93819043410576</v>
      </c>
    </row>
    <row r="48" spans="1:7" x14ac:dyDescent="0.35">
      <c r="A48" s="11">
        <v>19054</v>
      </c>
      <c r="B48" s="6">
        <v>193</v>
      </c>
      <c r="C48" s="12">
        <f t="shared" si="2"/>
        <v>159.32029177823716</v>
      </c>
      <c r="D48" s="12">
        <f t="shared" si="3"/>
        <v>1.8088412</v>
      </c>
      <c r="E48" s="6">
        <f t="shared" si="5"/>
        <v>1.2832307999999999</v>
      </c>
      <c r="F48" s="12">
        <f t="shared" si="1"/>
        <v>206.76586621496963</v>
      </c>
      <c r="G48" s="12">
        <f t="shared" si="4"/>
        <v>189.49907264844239</v>
      </c>
    </row>
    <row r="49" spans="1:7" x14ac:dyDescent="0.35">
      <c r="A49" s="11">
        <v>19085</v>
      </c>
      <c r="B49" s="6">
        <v>181</v>
      </c>
      <c r="C49" s="12">
        <f t="shared" si="2"/>
        <v>152.73126789798619</v>
      </c>
      <c r="D49" s="12">
        <f t="shared" si="3"/>
        <v>1.8088412</v>
      </c>
      <c r="E49" s="6">
        <f t="shared" si="5"/>
        <v>1.2409722000000001</v>
      </c>
      <c r="F49" s="12">
        <f t="shared" si="1"/>
        <v>191.77997917556795</v>
      </c>
      <c r="G49" s="12">
        <f t="shared" si="4"/>
        <v>116.20795102567855</v>
      </c>
    </row>
    <row r="50" spans="1:7" x14ac:dyDescent="0.35">
      <c r="A50" s="11">
        <v>19115</v>
      </c>
      <c r="B50" s="6">
        <v>183</v>
      </c>
      <c r="C50" s="12">
        <f t="shared" si="2"/>
        <v>147.73984166096392</v>
      </c>
      <c r="D50" s="12">
        <f t="shared" si="3"/>
        <v>1.8088412</v>
      </c>
      <c r="E50" s="6">
        <f t="shared" si="5"/>
        <v>1.2383476</v>
      </c>
      <c r="F50" s="12">
        <f t="shared" si="1"/>
        <v>185.1932525040358</v>
      </c>
      <c r="G50" s="12">
        <f t="shared" si="4"/>
        <v>4.8103565464592952</v>
      </c>
    </row>
    <row r="51" spans="1:7" x14ac:dyDescent="0.35">
      <c r="A51" s="11">
        <v>19146</v>
      </c>
      <c r="B51" s="6">
        <v>218</v>
      </c>
      <c r="C51" s="12">
        <f t="shared" si="2"/>
        <v>148.16219462022573</v>
      </c>
      <c r="D51" s="12">
        <f t="shared" si="3"/>
        <v>1.8088412</v>
      </c>
      <c r="E51" s="6">
        <f t="shared" si="5"/>
        <v>1.4130033</v>
      </c>
      <c r="F51" s="12">
        <f t="shared" si="1"/>
        <v>211.90956851839715</v>
      </c>
      <c r="G51" s="12">
        <f t="shared" si="4"/>
        <v>37.093355632099076</v>
      </c>
    </row>
    <row r="52" spans="1:7" x14ac:dyDescent="0.35">
      <c r="A52" s="11">
        <v>19176</v>
      </c>
      <c r="B52" s="6">
        <v>230</v>
      </c>
      <c r="C52" s="12">
        <f t="shared" si="2"/>
        <v>153.3452683579801</v>
      </c>
      <c r="D52" s="12">
        <f t="shared" si="3"/>
        <v>1.8088412</v>
      </c>
      <c r="E52" s="6">
        <f t="shared" si="5"/>
        <v>1.5573927000000001</v>
      </c>
      <c r="F52" s="12">
        <f t="shared" si="1"/>
        <v>241.63587760059843</v>
      </c>
      <c r="G52" s="12">
        <f t="shared" si="4"/>
        <v>135.39364753610838</v>
      </c>
    </row>
    <row r="53" spans="1:7" x14ac:dyDescent="0.35">
      <c r="A53" s="11">
        <v>19207</v>
      </c>
      <c r="B53" s="6">
        <v>242</v>
      </c>
      <c r="C53" s="12">
        <f t="shared" si="2"/>
        <v>149.30525081202029</v>
      </c>
      <c r="D53" s="12">
        <f t="shared" si="3"/>
        <v>1.8088412</v>
      </c>
      <c r="E53" s="6">
        <f t="shared" si="5"/>
        <v>1.5314877</v>
      </c>
      <c r="F53" s="12">
        <f t="shared" si="1"/>
        <v>231.4293732130773</v>
      </c>
      <c r="G53" s="12">
        <f t="shared" si="4"/>
        <v>111.73815066840777</v>
      </c>
    </row>
    <row r="54" spans="1:7" x14ac:dyDescent="0.35">
      <c r="A54" s="11">
        <v>19238</v>
      </c>
      <c r="B54" s="6">
        <v>209</v>
      </c>
      <c r="C54" s="12">
        <f t="shared" si="2"/>
        <v>156.5173704755791</v>
      </c>
      <c r="D54" s="12">
        <f t="shared" si="3"/>
        <v>1.8088412</v>
      </c>
      <c r="E54" s="6">
        <f t="shared" si="5"/>
        <v>1.3376906</v>
      </c>
      <c r="F54" s="12">
        <f t="shared" si="1"/>
        <v>211.79148509203239</v>
      </c>
      <c r="G54" s="12">
        <f t="shared" si="4"/>
        <v>7.7923890190390734</v>
      </c>
    </row>
    <row r="55" spans="1:7" x14ac:dyDescent="0.35">
      <c r="A55" s="11">
        <v>19268</v>
      </c>
      <c r="B55" s="6">
        <v>191</v>
      </c>
      <c r="C55" s="12">
        <f t="shared" si="2"/>
        <v>156.69259649302182</v>
      </c>
      <c r="D55" s="12">
        <f t="shared" si="3"/>
        <v>1.8088412</v>
      </c>
      <c r="E55" s="6">
        <f t="shared" si="5"/>
        <v>1.1563346999999999</v>
      </c>
      <c r="F55" s="12">
        <f t="shared" si="1"/>
        <v>183.28071240432905</v>
      </c>
      <c r="G55" s="12">
        <f t="shared" si="4"/>
        <v>59.587400984679377</v>
      </c>
    </row>
    <row r="56" spans="1:7" x14ac:dyDescent="0.35">
      <c r="A56" s="11">
        <v>19299</v>
      </c>
      <c r="B56" s="6">
        <v>172</v>
      </c>
      <c r="C56" s="12">
        <f t="shared" si="2"/>
        <v>163.72737008188773</v>
      </c>
      <c r="D56" s="12">
        <f t="shared" si="3"/>
        <v>1.8088412</v>
      </c>
      <c r="E56" s="6">
        <f t="shared" si="5"/>
        <v>1.0057966</v>
      </c>
      <c r="F56" s="12">
        <f t="shared" si="1"/>
        <v>166.49575848420432</v>
      </c>
      <c r="G56" s="12">
        <f t="shared" si="4"/>
        <v>30.296674664208769</v>
      </c>
    </row>
    <row r="57" spans="1:7" x14ac:dyDescent="0.35">
      <c r="A57" s="11">
        <v>19329</v>
      </c>
      <c r="B57" s="6">
        <v>194</v>
      </c>
      <c r="C57" s="12">
        <f t="shared" si="2"/>
        <v>169.82028999737514</v>
      </c>
      <c r="D57" s="12">
        <f t="shared" si="3"/>
        <v>1.8088412</v>
      </c>
      <c r="E57" s="6">
        <f t="shared" si="5"/>
        <v>1.1276615999999999</v>
      </c>
      <c r="F57" s="12">
        <f t="shared" si="1"/>
        <v>193.53958069264195</v>
      </c>
      <c r="G57" s="12">
        <f t="shared" si="4"/>
        <v>0.21198593858806819</v>
      </c>
    </row>
    <row r="58" spans="1:7" x14ac:dyDescent="0.35">
      <c r="A58" s="11">
        <v>19360</v>
      </c>
      <c r="B58" s="6">
        <v>196</v>
      </c>
      <c r="C58" s="12">
        <f t="shared" si="2"/>
        <v>171.94875922797559</v>
      </c>
      <c r="D58" s="12">
        <f t="shared" si="3"/>
        <v>1.8088412</v>
      </c>
      <c r="E58" s="6">
        <f t="shared" si="5"/>
        <v>1.147035</v>
      </c>
      <c r="F58" s="12">
        <f t="shared" si="1"/>
        <v>199.30604920690297</v>
      </c>
      <c r="G58" s="12">
        <f t="shared" si="4"/>
        <v>10.929961358463752</v>
      </c>
    </row>
    <row r="59" spans="1:7" x14ac:dyDescent="0.35">
      <c r="A59" s="11">
        <v>19391</v>
      </c>
      <c r="B59" s="6">
        <v>196</v>
      </c>
      <c r="C59" s="12">
        <f t="shared" si="2"/>
        <v>171.50126965369577</v>
      </c>
      <c r="D59" s="12">
        <f t="shared" si="3"/>
        <v>1.8088412</v>
      </c>
      <c r="E59" s="6">
        <f t="shared" si="5"/>
        <v>1.1133329999999999</v>
      </c>
      <c r="F59" s="12">
        <f t="shared" si="1"/>
        <v>192.95186564707765</v>
      </c>
      <c r="G59" s="12">
        <f t="shared" si="4"/>
        <v>9.2911230334653325</v>
      </c>
    </row>
    <row r="60" spans="1:7" x14ac:dyDescent="0.35">
      <c r="A60" s="11">
        <v>19419</v>
      </c>
      <c r="B60" s="6">
        <v>236</v>
      </c>
      <c r="C60" s="12">
        <f t="shared" si="2"/>
        <v>175.45339201624381</v>
      </c>
      <c r="D60" s="12">
        <f t="shared" si="3"/>
        <v>1.8088412</v>
      </c>
      <c r="E60" s="6">
        <f t="shared" si="5"/>
        <v>1.2832307999999999</v>
      </c>
      <c r="F60" s="12">
        <f t="shared" si="1"/>
        <v>227.46835733986708</v>
      </c>
      <c r="G60" s="12">
        <f t="shared" si="4"/>
        <v>72.788926480199876</v>
      </c>
    </row>
    <row r="61" spans="1:7" x14ac:dyDescent="0.35">
      <c r="A61" s="11">
        <v>19450</v>
      </c>
      <c r="B61" s="6">
        <v>235</v>
      </c>
      <c r="C61" s="12">
        <f t="shared" si="2"/>
        <v>182.46696082683155</v>
      </c>
      <c r="D61" s="12">
        <f t="shared" si="3"/>
        <v>1.8088412</v>
      </c>
      <c r="E61" s="6">
        <f t="shared" si="5"/>
        <v>1.2409722000000001</v>
      </c>
      <c r="F61" s="12">
        <f t="shared" si="1"/>
        <v>228.68114744800161</v>
      </c>
      <c r="G61" s="12">
        <f t="shared" si="4"/>
        <v>39.927897573896566</v>
      </c>
    </row>
    <row r="62" spans="1:7" x14ac:dyDescent="0.35">
      <c r="A62" s="11">
        <v>19480</v>
      </c>
      <c r="B62" s="6">
        <v>229</v>
      </c>
      <c r="C62" s="12">
        <f t="shared" si="2"/>
        <v>188.26188461093224</v>
      </c>
      <c r="D62" s="12">
        <f t="shared" si="3"/>
        <v>1.8088412</v>
      </c>
      <c r="E62" s="6">
        <f t="shared" si="5"/>
        <v>1.2383476</v>
      </c>
      <c r="F62" s="12">
        <f t="shared" si="1"/>
        <v>235.37362713822597</v>
      </c>
      <c r="G62" s="12">
        <f t="shared" si="4"/>
        <v>40.623122897130571</v>
      </c>
    </row>
    <row r="63" spans="1:7" x14ac:dyDescent="0.35">
      <c r="A63" s="11">
        <v>19511</v>
      </c>
      <c r="B63" s="6">
        <v>243</v>
      </c>
      <c r="C63" s="12">
        <f t="shared" si="2"/>
        <v>186.04156862919447</v>
      </c>
      <c r="D63" s="12">
        <f t="shared" si="3"/>
        <v>1.8088412</v>
      </c>
      <c r="E63" s="6">
        <f t="shared" si="5"/>
        <v>1.4130033</v>
      </c>
      <c r="F63" s="12">
        <f t="shared" si="1"/>
        <v>265.43324899500419</v>
      </c>
      <c r="G63" s="12">
        <f t="shared" si="4"/>
        <v>503.25066047185658</v>
      </c>
    </row>
    <row r="64" spans="1:7" x14ac:dyDescent="0.35">
      <c r="A64" s="11">
        <v>19541</v>
      </c>
      <c r="B64" s="6">
        <v>264</v>
      </c>
      <c r="C64" s="12">
        <f t="shared" si="2"/>
        <v>175.42189816870908</v>
      </c>
      <c r="D64" s="12">
        <f t="shared" si="3"/>
        <v>1.8088412</v>
      </c>
      <c r="E64" s="6">
        <f t="shared" si="5"/>
        <v>1.5573927000000001</v>
      </c>
      <c r="F64" s="12">
        <f t="shared" si="1"/>
        <v>276.01785970843014</v>
      </c>
      <c r="G64" s="12">
        <f t="shared" si="4"/>
        <v>144.4289519715085</v>
      </c>
    </row>
    <row r="65" spans="1:7" x14ac:dyDescent="0.35">
      <c r="A65" s="11">
        <v>19572</v>
      </c>
      <c r="B65" s="6">
        <v>272</v>
      </c>
      <c r="C65" s="12">
        <f t="shared" si="2"/>
        <v>171.18987453013821</v>
      </c>
      <c r="D65" s="12">
        <f t="shared" si="3"/>
        <v>1.8088412</v>
      </c>
      <c r="E65" s="6">
        <f t="shared" si="5"/>
        <v>1.5314877</v>
      </c>
      <c r="F65" s="12">
        <f t="shared" si="1"/>
        <v>264.94540525650319</v>
      </c>
      <c r="G65" s="12">
        <f t="shared" si="4"/>
        <v>49.767306994972778</v>
      </c>
    </row>
    <row r="66" spans="1:7" x14ac:dyDescent="0.35">
      <c r="A66" s="11">
        <v>19603</v>
      </c>
      <c r="B66" s="6">
        <v>237</v>
      </c>
      <c r="C66" s="12">
        <f t="shared" si="2"/>
        <v>176.60474029377417</v>
      </c>
      <c r="D66" s="12">
        <f t="shared" si="3"/>
        <v>1.8088412</v>
      </c>
      <c r="E66" s="6">
        <f t="shared" si="5"/>
        <v>1.3376906</v>
      </c>
      <c r="F66" s="12">
        <f t="shared" si="1"/>
        <v>238.66217087655565</v>
      </c>
      <c r="G66" s="12">
        <f t="shared" si="4"/>
        <v>2.7628120228697748</v>
      </c>
    </row>
    <row r="67" spans="1:7" x14ac:dyDescent="0.35">
      <c r="A67" s="11">
        <v>19633</v>
      </c>
      <c r="B67" s="6">
        <v>211</v>
      </c>
      <c r="C67" s="12">
        <f t="shared" si="2"/>
        <v>177.44085640643763</v>
      </c>
      <c r="D67" s="12">
        <f t="shared" si="3"/>
        <v>1.8088412</v>
      </c>
      <c r="E67" s="6">
        <f t="shared" si="5"/>
        <v>1.1563346999999999</v>
      </c>
      <c r="F67" s="12">
        <f t="shared" si="1"/>
        <v>207.27264530683075</v>
      </c>
      <c r="G67" s="12">
        <f t="shared" si="4"/>
        <v>13.893173008690807</v>
      </c>
    </row>
    <row r="68" spans="1:7" x14ac:dyDescent="0.35">
      <c r="A68" s="11">
        <v>19664</v>
      </c>
      <c r="B68" s="6">
        <v>180</v>
      </c>
      <c r="C68" s="12">
        <f t="shared" si="2"/>
        <v>181.77310451081937</v>
      </c>
      <c r="D68" s="12">
        <f t="shared" si="3"/>
        <v>1.8088412</v>
      </c>
      <c r="E68" s="6">
        <f t="shared" si="5"/>
        <v>1.0057966</v>
      </c>
      <c r="F68" s="12">
        <f t="shared" si="1"/>
        <v>184.64609681732671</v>
      </c>
      <c r="G68" s="12">
        <f t="shared" si="4"/>
        <v>21.586215635973364</v>
      </c>
    </row>
    <row r="69" spans="1:7" x14ac:dyDescent="0.35">
      <c r="A69" s="11">
        <v>19694</v>
      </c>
      <c r="B69" s="6">
        <v>201</v>
      </c>
      <c r="C69" s="12">
        <f t="shared" si="2"/>
        <v>179.96578089899498</v>
      </c>
      <c r="D69" s="12">
        <f t="shared" si="3"/>
        <v>1.8088412</v>
      </c>
      <c r="E69" s="6">
        <f t="shared" si="5"/>
        <v>1.1276615999999999</v>
      </c>
      <c r="F69" s="12">
        <f t="shared" si="1"/>
        <v>204.98026119554802</v>
      </c>
      <c r="G69" s="12">
        <f t="shared" si="4"/>
        <v>15.84247918478539</v>
      </c>
    </row>
    <row r="70" spans="1:7" x14ac:dyDescent="0.35">
      <c r="A70" s="11">
        <v>19725</v>
      </c>
      <c r="B70" s="6">
        <v>204</v>
      </c>
      <c r="C70" s="12">
        <f t="shared" si="2"/>
        <v>179.01148200717611</v>
      </c>
      <c r="D70" s="12">
        <f t="shared" si="3"/>
        <v>1.8088412</v>
      </c>
      <c r="E70" s="6">
        <f t="shared" si="5"/>
        <v>1.147035</v>
      </c>
      <c r="F70" s="12">
        <f t="shared" si="1"/>
        <v>207.40723942994325</v>
      </c>
      <c r="G70" s="12">
        <f t="shared" si="4"/>
        <v>11.609280532959977</v>
      </c>
    </row>
    <row r="71" spans="1:7" x14ac:dyDescent="0.35">
      <c r="A71" s="11">
        <v>19756</v>
      </c>
      <c r="B71" s="6">
        <v>188</v>
      </c>
      <c r="C71" s="12">
        <f t="shared" si="2"/>
        <v>178.49493156900311</v>
      </c>
      <c r="D71" s="12">
        <f t="shared" si="3"/>
        <v>1.8088412</v>
      </c>
      <c r="E71" s="6">
        <f t="shared" si="5"/>
        <v>1.1133329999999999</v>
      </c>
      <c r="F71" s="12">
        <f t="shared" si="1"/>
        <v>200.73814024823253</v>
      </c>
      <c r="G71" s="12">
        <f t="shared" si="4"/>
        <v>162.26021698364139</v>
      </c>
    </row>
    <row r="72" spans="1:7" x14ac:dyDescent="0.35">
      <c r="A72" s="11">
        <v>19784</v>
      </c>
      <c r="B72" s="6">
        <v>235</v>
      </c>
      <c r="C72" s="12">
        <f t="shared" si="2"/>
        <v>171.34701008111273</v>
      </c>
      <c r="D72" s="12">
        <f t="shared" si="3"/>
        <v>1.8088412</v>
      </c>
      <c r="E72" s="6">
        <f t="shared" si="5"/>
        <v>1.2832307999999999</v>
      </c>
      <c r="F72" s="12">
        <f t="shared" si="1"/>
        <v>222.19892156414329</v>
      </c>
      <c r="G72" s="12">
        <f t="shared" si="4"/>
        <v>163.86760912095565</v>
      </c>
    </row>
    <row r="73" spans="1:7" x14ac:dyDescent="0.35">
      <c r="A73" s="11">
        <v>19815</v>
      </c>
      <c r="B73" s="6">
        <v>227</v>
      </c>
      <c r="C73" s="12">
        <f t="shared" si="2"/>
        <v>180.96514768914642</v>
      </c>
      <c r="D73" s="12">
        <f t="shared" si="3"/>
        <v>1.8088412</v>
      </c>
      <c r="E73" s="6">
        <f t="shared" si="5"/>
        <v>1.2409722000000001</v>
      </c>
      <c r="F73" s="12">
        <f t="shared" si="1"/>
        <v>226.81743909453959</v>
      </c>
      <c r="G73" s="12">
        <f t="shared" si="4"/>
        <v>3.3328484202523233E-2</v>
      </c>
    </row>
    <row r="74" spans="1:7" x14ac:dyDescent="0.35">
      <c r="A74" s="11">
        <v>19845</v>
      </c>
      <c r="B74" s="6">
        <v>234</v>
      </c>
      <c r="C74" s="12">
        <f t="shared" si="2"/>
        <v>182.88915265342246</v>
      </c>
      <c r="D74" s="12">
        <f t="shared" si="3"/>
        <v>1.8088412</v>
      </c>
      <c r="E74" s="6">
        <f t="shared" si="5"/>
        <v>1.2383476</v>
      </c>
      <c r="F74" s="12">
        <f t="shared" si="1"/>
        <v>228.72031741320043</v>
      </c>
      <c r="G74" s="12">
        <f t="shared" si="4"/>
        <v>27.875048217354561</v>
      </c>
    </row>
    <row r="75" spans="1:7" x14ac:dyDescent="0.35">
      <c r="A75" s="11">
        <v>19876</v>
      </c>
      <c r="B75" s="6">
        <v>264</v>
      </c>
      <c r="C75" s="12">
        <f t="shared" si="2"/>
        <v>188.03560218076183</v>
      </c>
      <c r="D75" s="12">
        <f t="shared" si="3"/>
        <v>1.8088412</v>
      </c>
      <c r="E75" s="6">
        <f t="shared" si="5"/>
        <v>1.4130033</v>
      </c>
      <c r="F75" s="12">
        <f t="shared" ref="F75:F117" si="6">(C75+D75)*E75</f>
        <v>268.25082498367959</v>
      </c>
      <c r="G75" s="12">
        <f t="shared" si="4"/>
        <v>18.069513041874607</v>
      </c>
    </row>
    <row r="76" spans="1:7" x14ac:dyDescent="0.35">
      <c r="A76" s="11">
        <v>19906</v>
      </c>
      <c r="B76" s="6">
        <v>302</v>
      </c>
      <c r="C76" s="12">
        <f t="shared" ref="C76:C117" si="7">(B75/E75)*$E$2+(C75+D75)*(1-$E$2)</f>
        <v>187.48939316542697</v>
      </c>
      <c r="D76" s="12">
        <f t="shared" ref="D76:D117" si="8">(C76-C75)*$E$3+D75*(1-$E$3)</f>
        <v>1.8088412</v>
      </c>
      <c r="E76" s="6">
        <f t="shared" si="5"/>
        <v>1.5573927000000001</v>
      </c>
      <c r="F76" s="12">
        <f t="shared" si="6"/>
        <v>294.8116883236051</v>
      </c>
      <c r="G76" s="12">
        <f t="shared" ref="G76:G117" si="9">(F76-B76)^2</f>
        <v>51.671824756995306</v>
      </c>
    </row>
    <row r="77" spans="1:7" x14ac:dyDescent="0.35">
      <c r="A77" s="11">
        <v>19937</v>
      </c>
      <c r="B77" s="6">
        <v>293</v>
      </c>
      <c r="C77" s="12">
        <f t="shared" si="7"/>
        <v>192.91149165983205</v>
      </c>
      <c r="D77" s="12">
        <f t="shared" si="8"/>
        <v>1.8088412</v>
      </c>
      <c r="E77" s="6">
        <f t="shared" si="5"/>
        <v>1.5314877</v>
      </c>
      <c r="F77" s="12">
        <f t="shared" si="6"/>
        <v>298.21179471473857</v>
      </c>
      <c r="G77" s="12">
        <f t="shared" si="9"/>
        <v>27.162804148576928</v>
      </c>
    </row>
    <row r="78" spans="1:7" x14ac:dyDescent="0.35">
      <c r="A78" s="11">
        <v>19968</v>
      </c>
      <c r="B78" s="6">
        <v>259</v>
      </c>
      <c r="C78" s="12">
        <f t="shared" si="7"/>
        <v>192.05627341413526</v>
      </c>
      <c r="D78" s="12">
        <f t="shared" si="8"/>
        <v>1.8088412</v>
      </c>
      <c r="E78" s="6">
        <f t="shared" si="5"/>
        <v>1.3376906</v>
      </c>
      <c r="F78" s="12">
        <f t="shared" si="6"/>
        <v>259.33154148725134</v>
      </c>
      <c r="G78" s="12">
        <f t="shared" si="9"/>
        <v>0.10991975776883238</v>
      </c>
    </row>
    <row r="79" spans="1:7" x14ac:dyDescent="0.35">
      <c r="A79" s="11">
        <v>19998</v>
      </c>
      <c r="B79" s="6">
        <v>229</v>
      </c>
      <c r="C79" s="12">
        <f t="shared" si="7"/>
        <v>193.67109200990666</v>
      </c>
      <c r="D79" s="12">
        <f t="shared" si="8"/>
        <v>1.8088412</v>
      </c>
      <c r="E79" s="6">
        <f t="shared" si="5"/>
        <v>1.1563346999999999</v>
      </c>
      <c r="F79" s="12">
        <f t="shared" si="6"/>
        <v>226.04022992429742</v>
      </c>
      <c r="G79" s="12">
        <f t="shared" si="9"/>
        <v>8.7602389010244508</v>
      </c>
    </row>
    <row r="80" spans="1:7" x14ac:dyDescent="0.35">
      <c r="A80" s="11">
        <v>20029</v>
      </c>
      <c r="B80" s="6">
        <v>203</v>
      </c>
      <c r="C80" s="12">
        <f t="shared" si="7"/>
        <v>197.4836878453583</v>
      </c>
      <c r="D80" s="12">
        <f t="shared" si="8"/>
        <v>1.8088412</v>
      </c>
      <c r="E80" s="6">
        <f t="shared" si="5"/>
        <v>1.0057966</v>
      </c>
      <c r="F80" s="12">
        <f t="shared" si="6"/>
        <v>200.44774811922264</v>
      </c>
      <c r="G80" s="12">
        <f t="shared" si="9"/>
        <v>6.513989662931583</v>
      </c>
    </row>
    <row r="81" spans="1:7" x14ac:dyDescent="0.35">
      <c r="A81" s="11">
        <v>20059</v>
      </c>
      <c r="B81" s="6">
        <v>229</v>
      </c>
      <c r="C81" s="12">
        <f t="shared" si="7"/>
        <v>201.27900582469715</v>
      </c>
      <c r="D81" s="12">
        <f t="shared" si="8"/>
        <v>1.8088412</v>
      </c>
      <c r="E81" s="6">
        <f t="shared" si="5"/>
        <v>1.1276615999999999</v>
      </c>
      <c r="F81" s="12">
        <f t="shared" si="6"/>
        <v>229.01436651642521</v>
      </c>
      <c r="G81" s="12">
        <f t="shared" si="9"/>
        <v>2.0639679419590614E-4</v>
      </c>
    </row>
    <row r="82" spans="1:7" x14ac:dyDescent="0.35">
      <c r="A82" s="11">
        <v>20090</v>
      </c>
      <c r="B82" s="6">
        <v>242</v>
      </c>
      <c r="C82" s="12">
        <f t="shared" si="7"/>
        <v>203.07787363461946</v>
      </c>
      <c r="D82" s="12">
        <f t="shared" si="8"/>
        <v>1.8088412</v>
      </c>
      <c r="E82" s="6">
        <f t="shared" si="5"/>
        <v>1.147035</v>
      </c>
      <c r="F82" s="12">
        <f t="shared" si="6"/>
        <v>235.01223295032773</v>
      </c>
      <c r="G82" s="12">
        <f t="shared" si="9"/>
        <v>48.82888834048552</v>
      </c>
    </row>
    <row r="83" spans="1:7" x14ac:dyDescent="0.35">
      <c r="A83" s="11">
        <v>20121</v>
      </c>
      <c r="B83" s="6">
        <v>233</v>
      </c>
      <c r="C83" s="12">
        <f t="shared" si="7"/>
        <v>209.65576479453941</v>
      </c>
      <c r="D83" s="12">
        <f t="shared" si="8"/>
        <v>1.8088412</v>
      </c>
      <c r="E83" s="6">
        <f t="shared" si="5"/>
        <v>1.1133329999999999</v>
      </c>
      <c r="F83" s="12">
        <f t="shared" si="6"/>
        <v>235.4305241857185</v>
      </c>
      <c r="G83" s="12">
        <f t="shared" si="9"/>
        <v>5.9074478173625611</v>
      </c>
    </row>
    <row r="84" spans="1:7" x14ac:dyDescent="0.35">
      <c r="A84" s="11">
        <v>20149</v>
      </c>
      <c r="B84" s="6">
        <v>267</v>
      </c>
      <c r="C84" s="12">
        <f t="shared" si="7"/>
        <v>209.75559448152208</v>
      </c>
      <c r="D84" s="12">
        <f t="shared" si="8"/>
        <v>1.8088412</v>
      </c>
      <c r="E84" s="6">
        <f t="shared" si="5"/>
        <v>1.2832307999999999</v>
      </c>
      <c r="F84" s="12">
        <f t="shared" si="6"/>
        <v>271.4860000511481</v>
      </c>
      <c r="G84" s="12">
        <f t="shared" si="9"/>
        <v>20.124196458900723</v>
      </c>
    </row>
    <row r="85" spans="1:7" x14ac:dyDescent="0.35">
      <c r="A85" s="11">
        <v>20180</v>
      </c>
      <c r="B85" s="6">
        <v>269</v>
      </c>
      <c r="C85" s="12">
        <f t="shared" si="7"/>
        <v>208.82775187309065</v>
      </c>
      <c r="D85" s="12">
        <f t="shared" si="8"/>
        <v>1.8088412</v>
      </c>
      <c r="E85" s="6">
        <f t="shared" si="5"/>
        <v>1.2409722000000001</v>
      </c>
      <c r="F85" s="12">
        <f t="shared" si="6"/>
        <v>261.39415630641804</v>
      </c>
      <c r="G85" s="12">
        <f t="shared" si="9"/>
        <v>57.848858291200472</v>
      </c>
    </row>
    <row r="86" spans="1:7" x14ac:dyDescent="0.35">
      <c r="A86" s="11">
        <v>20210</v>
      </c>
      <c r="B86" s="6">
        <v>270</v>
      </c>
      <c r="C86" s="12">
        <f t="shared" si="7"/>
        <v>215.43454030083393</v>
      </c>
      <c r="D86" s="12">
        <f t="shared" si="8"/>
        <v>1.8088412</v>
      </c>
      <c r="E86" s="6">
        <f t="shared" si="5"/>
        <v>1.2383476</v>
      </c>
      <c r="F86" s="12">
        <f t="shared" si="6"/>
        <v>269.02282009744209</v>
      </c>
      <c r="G86" s="12">
        <f t="shared" si="9"/>
        <v>0.9548805619630808</v>
      </c>
    </row>
    <row r="87" spans="1:7" x14ac:dyDescent="0.35">
      <c r="A87" s="11">
        <v>20241</v>
      </c>
      <c r="B87" s="6">
        <v>315</v>
      </c>
      <c r="C87" s="12">
        <f t="shared" si="7"/>
        <v>217.86111632228707</v>
      </c>
      <c r="D87" s="12">
        <f t="shared" si="8"/>
        <v>1.8088412</v>
      </c>
      <c r="E87" s="6">
        <f t="shared" ref="E87:E117" si="10">$E$4*(B75/(C75+D75))+(1-$E$4)*E75</f>
        <v>1.4130033</v>
      </c>
      <c r="F87" s="12">
        <f t="shared" si="6"/>
        <v>310.39437488985146</v>
      </c>
      <c r="G87" s="12">
        <f t="shared" si="9"/>
        <v>21.211782655230724</v>
      </c>
    </row>
    <row r="88" spans="1:7" x14ac:dyDescent="0.35">
      <c r="A88" s="11">
        <v>20271</v>
      </c>
      <c r="B88" s="6">
        <v>364</v>
      </c>
      <c r="C88" s="12">
        <f t="shared" si="7"/>
        <v>222.22157478459502</v>
      </c>
      <c r="D88" s="12">
        <f t="shared" si="8"/>
        <v>1.8088412</v>
      </c>
      <c r="E88" s="6">
        <f t="shared" si="10"/>
        <v>1.5573927000000001</v>
      </c>
      <c r="F88" s="12">
        <f t="shared" si="6"/>
        <v>348.90333443237159</v>
      </c>
      <c r="G88" s="12">
        <f t="shared" si="9"/>
        <v>227.90931126081711</v>
      </c>
    </row>
    <row r="89" spans="1:7" x14ac:dyDescent="0.35">
      <c r="A89" s="11">
        <v>20302</v>
      </c>
      <c r="B89" s="6">
        <v>347</v>
      </c>
      <c r="C89" s="12">
        <f t="shared" si="7"/>
        <v>231.61886504455356</v>
      </c>
      <c r="D89" s="12">
        <f t="shared" si="8"/>
        <v>1.8088412</v>
      </c>
      <c r="E89" s="6">
        <f t="shared" si="10"/>
        <v>1.5314877</v>
      </c>
      <c r="F89" s="12">
        <f t="shared" si="6"/>
        <v>357.49166095274694</v>
      </c>
      <c r="G89" s="12">
        <f t="shared" si="9"/>
        <v>110.07494954739484</v>
      </c>
    </row>
    <row r="90" spans="1:7" x14ac:dyDescent="0.35">
      <c r="A90" s="11">
        <v>20333</v>
      </c>
      <c r="B90" s="6">
        <v>312</v>
      </c>
      <c r="C90" s="12">
        <f t="shared" si="7"/>
        <v>228.06479193344842</v>
      </c>
      <c r="D90" s="12">
        <f t="shared" si="8"/>
        <v>1.8088412</v>
      </c>
      <c r="E90" s="6">
        <f t="shared" si="10"/>
        <v>1.3376906</v>
      </c>
      <c r="F90" s="12">
        <f t="shared" si="6"/>
        <v>307.49979823046249</v>
      </c>
      <c r="G90" s="12">
        <f t="shared" si="9"/>
        <v>20.251815966548552</v>
      </c>
    </row>
    <row r="91" spans="1:7" x14ac:dyDescent="0.35">
      <c r="A91" s="11">
        <v>20363</v>
      </c>
      <c r="B91" s="6">
        <v>274</v>
      </c>
      <c r="C91" s="12">
        <f t="shared" si="7"/>
        <v>232.5072126414569</v>
      </c>
      <c r="D91" s="12">
        <f t="shared" si="8"/>
        <v>1.8088412</v>
      </c>
      <c r="E91" s="6">
        <f t="shared" si="10"/>
        <v>1.1563346999999999</v>
      </c>
      <c r="F91" s="12">
        <f t="shared" si="6"/>
        <v>270.94778382394486</v>
      </c>
      <c r="G91" s="12">
        <f t="shared" si="9"/>
        <v>9.3160235853726601</v>
      </c>
    </row>
    <row r="92" spans="1:7" x14ac:dyDescent="0.35">
      <c r="A92" s="11">
        <v>20394</v>
      </c>
      <c r="B92" s="6">
        <v>237</v>
      </c>
      <c r="C92" s="12">
        <f t="shared" si="7"/>
        <v>236.38239418369417</v>
      </c>
      <c r="D92" s="12">
        <f t="shared" si="8"/>
        <v>1.8088412</v>
      </c>
      <c r="E92" s="6">
        <f t="shared" si="10"/>
        <v>1.0057966</v>
      </c>
      <c r="F92" s="12">
        <f t="shared" si="6"/>
        <v>239.5719346987193</v>
      </c>
      <c r="G92" s="12">
        <f t="shared" si="9"/>
        <v>6.6148480944763541</v>
      </c>
    </row>
    <row r="93" spans="1:7" x14ac:dyDescent="0.35">
      <c r="A93" s="11">
        <v>20424</v>
      </c>
      <c r="B93" s="6">
        <v>278</v>
      </c>
      <c r="C93" s="12">
        <f t="shared" si="7"/>
        <v>236.18943901106277</v>
      </c>
      <c r="D93" s="12">
        <f t="shared" si="8"/>
        <v>1.8088412</v>
      </c>
      <c r="E93" s="6">
        <f t="shared" si="10"/>
        <v>1.1276615999999999</v>
      </c>
      <c r="F93" s="12">
        <f t="shared" si="6"/>
        <v>268.38152146005535</v>
      </c>
      <c r="G93" s="12">
        <f t="shared" si="9"/>
        <v>92.515129423375711</v>
      </c>
    </row>
    <row r="94" spans="1:7" x14ac:dyDescent="0.35">
      <c r="A94" s="11">
        <v>20455</v>
      </c>
      <c r="B94" s="6">
        <v>284</v>
      </c>
      <c r="C94" s="12">
        <f t="shared" si="7"/>
        <v>244.6755313687876</v>
      </c>
      <c r="D94" s="12">
        <f t="shared" si="8"/>
        <v>1.8088412</v>
      </c>
      <c r="E94" s="6">
        <f t="shared" si="10"/>
        <v>1.147035</v>
      </c>
      <c r="F94" s="12">
        <f t="shared" si="6"/>
        <v>282.7262022894393</v>
      </c>
      <c r="G94" s="12">
        <f t="shared" si="9"/>
        <v>1.6225606074296812</v>
      </c>
    </row>
    <row r="95" spans="1:7" x14ac:dyDescent="0.35">
      <c r="A95" s="11">
        <v>20486</v>
      </c>
      <c r="B95" s="6">
        <v>277</v>
      </c>
      <c r="C95" s="12">
        <f t="shared" si="7"/>
        <v>247.35372108560466</v>
      </c>
      <c r="D95" s="12">
        <f t="shared" si="8"/>
        <v>1.8088412</v>
      </c>
      <c r="E95" s="6">
        <f t="shared" si="10"/>
        <v>1.1133329999999999</v>
      </c>
      <c r="F95" s="12">
        <f t="shared" si="6"/>
        <v>277.40090295711906</v>
      </c>
      <c r="G95" s="12">
        <f t="shared" si="9"/>
        <v>0.16072318102680533</v>
      </c>
    </row>
    <row r="96" spans="1:7" x14ac:dyDescent="0.35">
      <c r="A96" s="11">
        <v>20515</v>
      </c>
      <c r="B96" s="6">
        <v>317</v>
      </c>
      <c r="C96" s="12">
        <f t="shared" si="7"/>
        <v>248.88066927941901</v>
      </c>
      <c r="D96" s="12">
        <f t="shared" si="8"/>
        <v>1.8088412</v>
      </c>
      <c r="E96" s="6">
        <f t="shared" si="10"/>
        <v>1.2832307999999999</v>
      </c>
      <c r="F96" s="12">
        <f t="shared" si="6"/>
        <v>321.69250108411319</v>
      </c>
      <c r="G96" s="12">
        <f t="shared" si="9"/>
        <v>22.019566424403457</v>
      </c>
    </row>
    <row r="97" spans="1:7" x14ac:dyDescent="0.35">
      <c r="A97" s="11">
        <v>20546</v>
      </c>
      <c r="B97" s="6">
        <v>313</v>
      </c>
      <c r="C97" s="12">
        <f t="shared" si="7"/>
        <v>247.8268507398916</v>
      </c>
      <c r="D97" s="12">
        <f t="shared" si="8"/>
        <v>1.8088412</v>
      </c>
      <c r="E97" s="6">
        <f t="shared" si="10"/>
        <v>1.2409722000000001</v>
      </c>
      <c r="F97" s="12">
        <f t="shared" si="6"/>
        <v>309.79095382516954</v>
      </c>
      <c r="G97" s="12">
        <f t="shared" si="9"/>
        <v>10.297977352194019</v>
      </c>
    </row>
    <row r="98" spans="1:7" x14ac:dyDescent="0.35">
      <c r="A98" s="11">
        <v>20576</v>
      </c>
      <c r="B98" s="6">
        <v>318</v>
      </c>
      <c r="C98" s="12">
        <f t="shared" si="7"/>
        <v>251.66003464512232</v>
      </c>
      <c r="D98" s="12">
        <f t="shared" si="8"/>
        <v>1.8088412</v>
      </c>
      <c r="E98" s="6">
        <f t="shared" si="10"/>
        <v>1.2383476</v>
      </c>
      <c r="F98" s="12">
        <f t="shared" si="6"/>
        <v>313.88257407750518</v>
      </c>
      <c r="G98" s="12">
        <f t="shared" si="9"/>
        <v>16.953196227232297</v>
      </c>
    </row>
    <row r="99" spans="1:7" x14ac:dyDescent="0.35">
      <c r="A99" s="11">
        <v>20607</v>
      </c>
      <c r="B99" s="6">
        <v>374</v>
      </c>
      <c r="C99" s="12">
        <f t="shared" si="7"/>
        <v>256.07175107866016</v>
      </c>
      <c r="D99" s="12">
        <f t="shared" si="8"/>
        <v>1.8088412</v>
      </c>
      <c r="E99" s="6">
        <f t="shared" si="10"/>
        <v>1.4130033</v>
      </c>
      <c r="F99" s="12">
        <f t="shared" si="6"/>
        <v>364.38612789570135</v>
      </c>
      <c r="G99" s="12">
        <f t="shared" si="9"/>
        <v>92.426536837811753</v>
      </c>
    </row>
    <row r="100" spans="1:7" x14ac:dyDescent="0.35">
      <c r="A100" s="11">
        <v>20637</v>
      </c>
      <c r="B100" s="6">
        <v>413</v>
      </c>
      <c r="C100" s="12">
        <f t="shared" si="7"/>
        <v>263.2068881521335</v>
      </c>
      <c r="D100" s="12">
        <f t="shared" si="8"/>
        <v>1.8088412</v>
      </c>
      <c r="E100" s="6">
        <f t="shared" si="10"/>
        <v>1.5573927000000001</v>
      </c>
      <c r="F100" s="12">
        <f t="shared" si="6"/>
        <v>412.73356227818851</v>
      </c>
      <c r="G100" s="12">
        <f t="shared" si="9"/>
        <v>7.0989059604094309E-2</v>
      </c>
    </row>
    <row r="101" spans="1:7" x14ac:dyDescent="0.35">
      <c r="A101" s="11">
        <v>20668</v>
      </c>
      <c r="B101" s="6">
        <v>405</v>
      </c>
      <c r="C101" s="12">
        <f t="shared" si="7"/>
        <v>265.14965621635133</v>
      </c>
      <c r="D101" s="12">
        <f t="shared" si="8"/>
        <v>1.8088412</v>
      </c>
      <c r="E101" s="6">
        <f t="shared" si="10"/>
        <v>1.5314877</v>
      </c>
      <c r="F101" s="12">
        <f t="shared" si="6"/>
        <v>408.84365520362388</v>
      </c>
      <c r="G101" s="12">
        <f t="shared" si="9"/>
        <v>14.773685324344948</v>
      </c>
    </row>
    <row r="102" spans="1:7" x14ac:dyDescent="0.35">
      <c r="A102" s="11">
        <v>20699</v>
      </c>
      <c r="B102" s="6">
        <v>355</v>
      </c>
      <c r="C102" s="12">
        <f t="shared" si="7"/>
        <v>264.99377575871227</v>
      </c>
      <c r="D102" s="12">
        <f t="shared" si="8"/>
        <v>1.8088412</v>
      </c>
      <c r="E102" s="6">
        <f t="shared" si="10"/>
        <v>1.3376906</v>
      </c>
      <c r="F102" s="12">
        <f t="shared" si="6"/>
        <v>356.89935276107002</v>
      </c>
      <c r="G102" s="12">
        <f t="shared" si="9"/>
        <v>3.6075409109843077</v>
      </c>
    </row>
    <row r="103" spans="1:7" x14ac:dyDescent="0.35">
      <c r="A103" s="11">
        <v>20729</v>
      </c>
      <c r="B103" s="6">
        <v>306</v>
      </c>
      <c r="C103" s="12">
        <f t="shared" si="7"/>
        <v>265.69108979477642</v>
      </c>
      <c r="D103" s="12">
        <f t="shared" si="8"/>
        <v>1.8088412</v>
      </c>
      <c r="E103" s="6">
        <f t="shared" si="10"/>
        <v>1.1563346999999999</v>
      </c>
      <c r="F103" s="12">
        <f t="shared" si="6"/>
        <v>309.31945245686552</v>
      </c>
      <c r="G103" s="12">
        <f t="shared" si="9"/>
        <v>11.018764613390536</v>
      </c>
    </row>
    <row r="104" spans="1:7" x14ac:dyDescent="0.35">
      <c r="A104" s="11">
        <v>20760</v>
      </c>
      <c r="B104" s="6">
        <v>271</v>
      </c>
      <c r="C104" s="12">
        <f t="shared" si="7"/>
        <v>265.25267256676261</v>
      </c>
      <c r="D104" s="12">
        <f t="shared" si="8"/>
        <v>1.8088412</v>
      </c>
      <c r="E104" s="6">
        <f t="shared" si="10"/>
        <v>1.0057966</v>
      </c>
      <c r="F104" s="12">
        <f t="shared" si="6"/>
        <v>268.60956253746303</v>
      </c>
      <c r="G104" s="12">
        <f t="shared" si="9"/>
        <v>5.7141912623001669</v>
      </c>
    </row>
    <row r="105" spans="1:7" x14ac:dyDescent="0.35">
      <c r="A105" s="11">
        <v>20790</v>
      </c>
      <c r="B105" s="6">
        <v>306</v>
      </c>
      <c r="C105" s="12">
        <f t="shared" si="7"/>
        <v>268.92204663483716</v>
      </c>
      <c r="D105" s="12">
        <f t="shared" si="8"/>
        <v>1.8088412</v>
      </c>
      <c r="E105" s="6">
        <f t="shared" si="10"/>
        <v>1.1276615999999999</v>
      </c>
      <c r="F105" s="12">
        <f t="shared" si="6"/>
        <v>305.292826145253</v>
      </c>
      <c r="G105" s="12">
        <f t="shared" si="9"/>
        <v>0.50009486083772781</v>
      </c>
    </row>
    <row r="106" spans="1:7" x14ac:dyDescent="0.35">
      <c r="A106" s="11">
        <v>20821</v>
      </c>
      <c r="B106" s="6">
        <v>315</v>
      </c>
      <c r="C106" s="12">
        <f t="shared" si="7"/>
        <v>271.22181552373434</v>
      </c>
      <c r="D106" s="12">
        <f t="shared" si="8"/>
        <v>1.8088412</v>
      </c>
      <c r="E106" s="6">
        <f t="shared" si="10"/>
        <v>1.147035</v>
      </c>
      <c r="F106" s="12">
        <f t="shared" si="6"/>
        <v>313.17571933510862</v>
      </c>
      <c r="G106" s="12">
        <f t="shared" si="9"/>
        <v>3.3279999442965194</v>
      </c>
    </row>
    <row r="107" spans="1:7" x14ac:dyDescent="0.35">
      <c r="A107" s="11">
        <v>20852</v>
      </c>
      <c r="B107" s="6">
        <v>301</v>
      </c>
      <c r="C107" s="12">
        <f t="shared" si="7"/>
        <v>274.27570189623918</v>
      </c>
      <c r="D107" s="12">
        <f t="shared" si="8"/>
        <v>1.8088412</v>
      </c>
      <c r="E107" s="6">
        <f t="shared" si="10"/>
        <v>1.1133329999999999</v>
      </c>
      <c r="F107" s="12">
        <f t="shared" si="6"/>
        <v>307.37403261896526</v>
      </c>
      <c r="G107" s="12">
        <f t="shared" si="9"/>
        <v>40.62829182763312</v>
      </c>
    </row>
    <row r="108" spans="1:7" x14ac:dyDescent="0.35">
      <c r="A108" s="11">
        <v>20880</v>
      </c>
      <c r="B108" s="6">
        <v>356</v>
      </c>
      <c r="C108" s="12">
        <f t="shared" si="7"/>
        <v>271.60267239766011</v>
      </c>
      <c r="D108" s="12">
        <f t="shared" si="8"/>
        <v>1.8088412</v>
      </c>
      <c r="E108" s="6">
        <f t="shared" si="10"/>
        <v>1.2832307999999999</v>
      </c>
      <c r="F108" s="12">
        <f t="shared" si="6"/>
        <v>350.85007532313625</v>
      </c>
      <c r="G108" s="12">
        <f t="shared" si="9"/>
        <v>26.521724177370174</v>
      </c>
    </row>
    <row r="109" spans="1:7" x14ac:dyDescent="0.35">
      <c r="A109" s="11">
        <v>20911</v>
      </c>
      <c r="B109" s="6">
        <v>348</v>
      </c>
      <c r="C109" s="12">
        <f t="shared" si="7"/>
        <v>276.55322454663963</v>
      </c>
      <c r="D109" s="12">
        <f t="shared" si="8"/>
        <v>1.8088412</v>
      </c>
      <c r="E109" s="6">
        <f t="shared" si="10"/>
        <v>1.2409722000000001</v>
      </c>
      <c r="F109" s="12">
        <f t="shared" si="6"/>
        <v>345.43958512615205</v>
      </c>
      <c r="G109" s="12">
        <f t="shared" si="9"/>
        <v>6.5557243262217968</v>
      </c>
    </row>
    <row r="110" spans="1:7" x14ac:dyDescent="0.35">
      <c r="A110" s="11">
        <v>20941</v>
      </c>
      <c r="B110" s="6">
        <v>355</v>
      </c>
      <c r="C110" s="12">
        <f t="shared" si="7"/>
        <v>279.97723638920985</v>
      </c>
      <c r="D110" s="12">
        <f t="shared" si="8"/>
        <v>1.8088412</v>
      </c>
      <c r="E110" s="6">
        <f t="shared" si="10"/>
        <v>1.2383476</v>
      </c>
      <c r="F110" s="12">
        <f t="shared" si="6"/>
        <v>348.9491128960118</v>
      </c>
      <c r="G110" s="12">
        <f t="shared" si="9"/>
        <v>36.613234745210733</v>
      </c>
    </row>
    <row r="111" spans="1:7" x14ac:dyDescent="0.35">
      <c r="A111" s="11">
        <v>20972</v>
      </c>
      <c r="B111" s="6">
        <v>422</v>
      </c>
      <c r="C111" s="12">
        <f t="shared" si="7"/>
        <v>285.61121117518621</v>
      </c>
      <c r="D111" s="12">
        <f t="shared" si="8"/>
        <v>1.8088412</v>
      </c>
      <c r="E111" s="6">
        <f t="shared" si="10"/>
        <v>1.4130033</v>
      </c>
      <c r="F111" s="12">
        <f t="shared" si="6"/>
        <v>406.12548249231099</v>
      </c>
      <c r="G111" s="12">
        <f t="shared" si="9"/>
        <v>252.00030610192479</v>
      </c>
    </row>
    <row r="112" spans="1:7" x14ac:dyDescent="0.35">
      <c r="A112" s="11">
        <v>21002</v>
      </c>
      <c r="B112" s="6">
        <v>465</v>
      </c>
      <c r="C112" s="12">
        <f t="shared" si="7"/>
        <v>296.21488303002491</v>
      </c>
      <c r="D112" s="12">
        <f t="shared" si="8"/>
        <v>1.8088412</v>
      </c>
      <c r="E112" s="6">
        <f t="shared" si="10"/>
        <v>1.5573927000000001</v>
      </c>
      <c r="F112" s="12">
        <f t="shared" si="6"/>
        <v>464.13997254265394</v>
      </c>
      <c r="G112" s="12">
        <f t="shared" si="9"/>
        <v>0.73964722738913558</v>
      </c>
    </row>
    <row r="113" spans="1:7" x14ac:dyDescent="0.35">
      <c r="A113" s="11">
        <v>21033</v>
      </c>
      <c r="B113" s="6">
        <v>467</v>
      </c>
      <c r="C113" s="12">
        <f t="shared" si="7"/>
        <v>298.45602330434701</v>
      </c>
      <c r="D113" s="12">
        <f t="shared" si="8"/>
        <v>1.8088412</v>
      </c>
      <c r="E113" s="6">
        <f t="shared" si="10"/>
        <v>1.5314877</v>
      </c>
      <c r="F113" s="12">
        <f t="shared" si="6"/>
        <v>459.85194673057407</v>
      </c>
      <c r="G113" s="12">
        <f t="shared" si="9"/>
        <v>51.094665542550722</v>
      </c>
    </row>
    <row r="114" spans="1:7" x14ac:dyDescent="0.35">
      <c r="A114" s="11">
        <v>21064</v>
      </c>
      <c r="B114" s="6">
        <v>404</v>
      </c>
      <c r="C114" s="12">
        <f t="shared" si="7"/>
        <v>303.91866130046913</v>
      </c>
      <c r="D114" s="12">
        <f t="shared" si="8"/>
        <v>1.8088412</v>
      </c>
      <c r="E114" s="6">
        <f t="shared" si="10"/>
        <v>1.3376906</v>
      </c>
      <c r="F114" s="12">
        <f t="shared" si="6"/>
        <v>408.96880625635407</v>
      </c>
      <c r="G114" s="12">
        <f t="shared" si="9"/>
        <v>24.689035613183361</v>
      </c>
    </row>
    <row r="115" spans="1:7" x14ac:dyDescent="0.35">
      <c r="A115" s="11">
        <v>21094</v>
      </c>
      <c r="B115" s="6">
        <v>347</v>
      </c>
      <c r="C115" s="12">
        <f t="shared" si="7"/>
        <v>302.81968924983278</v>
      </c>
      <c r="D115" s="12">
        <f t="shared" si="8"/>
        <v>1.8088412</v>
      </c>
      <c r="E115" s="6">
        <f t="shared" si="10"/>
        <v>1.1563346999999999</v>
      </c>
      <c r="F115" s="12">
        <f t="shared" si="6"/>
        <v>352.25254036914828</v>
      </c>
      <c r="G115" s="12">
        <f t="shared" si="9"/>
        <v>27.589180329532329</v>
      </c>
    </row>
    <row r="116" spans="1:7" x14ac:dyDescent="0.35">
      <c r="A116" s="11">
        <v>21125</v>
      </c>
      <c r="B116" s="6">
        <v>305</v>
      </c>
      <c r="C116" s="12">
        <f t="shared" si="7"/>
        <v>301.0725778442644</v>
      </c>
      <c r="D116" s="12">
        <f t="shared" si="8"/>
        <v>1.8088412</v>
      </c>
      <c r="E116" s="6">
        <f t="shared" si="10"/>
        <v>1.0057966</v>
      </c>
      <c r="F116" s="12">
        <f t="shared" si="6"/>
        <v>304.63710147789641</v>
      </c>
      <c r="G116" s="12">
        <f t="shared" si="9"/>
        <v>0.13169533734497116</v>
      </c>
    </row>
    <row r="117" spans="1:7" x14ac:dyDescent="0.35">
      <c r="A117" s="11">
        <v>21155</v>
      </c>
      <c r="B117" s="6">
        <v>336</v>
      </c>
      <c r="C117" s="12">
        <f t="shared" si="7"/>
        <v>303.16387137306651</v>
      </c>
      <c r="D117" s="12">
        <f t="shared" si="8"/>
        <v>1.8088412</v>
      </c>
      <c r="E117" s="6">
        <f t="shared" si="10"/>
        <v>1.1276615999999999</v>
      </c>
      <c r="F117" s="12">
        <f t="shared" si="6"/>
        <v>343.90601701648433</v>
      </c>
      <c r="G117" s="12">
        <f t="shared" si="9"/>
        <v>62.505105064939741</v>
      </c>
    </row>
  </sheetData>
  <mergeCells count="3">
    <mergeCell ref="C1:E1"/>
    <mergeCell ref="I8:J8"/>
    <mergeCell ref="I14:M24"/>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87A8E-9092-4460-8733-F3EEC13A98C7}">
  <sheetPr codeName="Sheet8">
    <tabColor theme="9"/>
  </sheetPr>
  <dimension ref="A1:P117"/>
  <sheetViews>
    <sheetView workbookViewId="0">
      <selection activeCell="K12" sqref="K12"/>
    </sheetView>
  </sheetViews>
  <sheetFormatPr defaultRowHeight="14.5" x14ac:dyDescent="0.35"/>
  <cols>
    <col min="1" max="1" width="10.453125" style="6" bestFit="1" customWidth="1"/>
    <col min="2" max="2" width="22.36328125" style="6" bestFit="1" customWidth="1"/>
    <col min="3" max="3" width="7.6328125" style="6" bestFit="1" customWidth="1"/>
    <col min="4" max="5" width="17.26953125" style="6" customWidth="1"/>
    <col min="6" max="6" width="9.08984375" style="6" bestFit="1" customWidth="1"/>
    <col min="7" max="7" width="12.54296875" style="6" bestFit="1" customWidth="1"/>
    <col min="8" max="8" width="8.7265625" style="6"/>
    <col min="9" max="9" width="16.7265625" style="6" bestFit="1" customWidth="1"/>
    <col min="10" max="10" width="8.81640625" style="6" bestFit="1" customWidth="1"/>
    <col min="11" max="11" width="12.453125" style="6" customWidth="1"/>
    <col min="12" max="12" width="10.6328125" style="6" bestFit="1" customWidth="1"/>
    <col min="13" max="16384" width="8.7265625" style="6"/>
  </cols>
  <sheetData>
    <row r="1" spans="1:16" ht="15" thickBot="1" x14ac:dyDescent="0.4">
      <c r="C1" s="43" t="s">
        <v>0</v>
      </c>
      <c r="D1" s="43"/>
      <c r="E1" s="43"/>
      <c r="I1" s="8"/>
      <c r="J1" s="8"/>
    </row>
    <row r="2" spans="1:16" ht="15" thickBot="1" x14ac:dyDescent="0.4">
      <c r="D2" s="6" t="s">
        <v>1</v>
      </c>
      <c r="E2" s="3">
        <v>0.29055029999999998</v>
      </c>
      <c r="I2" s="8"/>
      <c r="J2" s="8"/>
    </row>
    <row r="3" spans="1:16" ht="15" thickBot="1" x14ac:dyDescent="0.4">
      <c r="D3" s="6" t="s">
        <v>9</v>
      </c>
      <c r="E3" s="3">
        <v>0</v>
      </c>
      <c r="H3" s="18"/>
      <c r="I3" s="13"/>
      <c r="J3" s="13"/>
      <c r="K3" s="13"/>
      <c r="L3" s="13"/>
    </row>
    <row r="4" spans="1:16" ht="15" thickBot="1" x14ac:dyDescent="0.4">
      <c r="D4" s="6" t="s">
        <v>10</v>
      </c>
      <c r="E4" s="3">
        <v>0.4911123</v>
      </c>
      <c r="I4" s="14"/>
      <c r="J4" s="14"/>
      <c r="K4" s="13"/>
      <c r="L4" s="13"/>
      <c r="P4" s="7"/>
    </row>
    <row r="5" spans="1:16" ht="15" thickBot="1" x14ac:dyDescent="0.4">
      <c r="D5" s="6" t="s">
        <v>11</v>
      </c>
      <c r="E5" s="4">
        <v>12</v>
      </c>
      <c r="I5" s="14"/>
      <c r="J5" s="14"/>
      <c r="K5" s="13"/>
      <c r="L5" s="13"/>
    </row>
    <row r="6" spans="1:16" x14ac:dyDescent="0.35">
      <c r="H6" s="18"/>
      <c r="I6" s="13"/>
      <c r="J6" s="13"/>
      <c r="K6" s="13"/>
      <c r="L6" s="13"/>
    </row>
    <row r="8" spans="1:16" x14ac:dyDescent="0.35">
      <c r="A8" s="5" t="s">
        <v>2</v>
      </c>
      <c r="B8" s="5" t="s">
        <v>3</v>
      </c>
      <c r="C8" s="5" t="s">
        <v>4</v>
      </c>
      <c r="D8" s="5" t="s">
        <v>5</v>
      </c>
      <c r="E8" s="5" t="s">
        <v>6</v>
      </c>
      <c r="F8" s="5" t="s">
        <v>18</v>
      </c>
      <c r="G8" s="5" t="s">
        <v>7</v>
      </c>
      <c r="I8" s="43" t="s">
        <v>16</v>
      </c>
      <c r="J8" s="43"/>
      <c r="M8" s="7"/>
    </row>
    <row r="9" spans="1:16" ht="15" thickBot="1" x14ac:dyDescent="0.4">
      <c r="A9" s="5"/>
      <c r="B9" s="5"/>
      <c r="C9" s="5"/>
      <c r="D9" s="5"/>
      <c r="E9" s="5"/>
      <c r="F9" s="5"/>
      <c r="G9" s="5"/>
      <c r="I9" s="5"/>
      <c r="J9" s="5"/>
    </row>
    <row r="10" spans="1:16" ht="15" thickBot="1" x14ac:dyDescent="0.4">
      <c r="A10" s="11">
        <v>17899</v>
      </c>
      <c r="B10" s="6">
        <v>112</v>
      </c>
      <c r="C10" s="3">
        <v>195.59106</v>
      </c>
      <c r="D10" s="3">
        <v>1.011395</v>
      </c>
      <c r="E10" s="1">
        <v>0.56024770000000002</v>
      </c>
      <c r="F10" s="12">
        <f>C10*D10*E10</f>
        <v>110.82809924151789</v>
      </c>
      <c r="G10" s="12">
        <f t="shared" ref="G10" si="0">(F10-B10)^2</f>
        <v>1.3733513877309447</v>
      </c>
      <c r="I10" s="9" t="s">
        <v>8</v>
      </c>
      <c r="J10" s="16">
        <f>SUM(G10:G117)</f>
        <v>7472.9935411143861</v>
      </c>
      <c r="O10" s="7"/>
    </row>
    <row r="11" spans="1:16" ht="15" thickBot="1" x14ac:dyDescent="0.4">
      <c r="A11" s="11">
        <v>17930</v>
      </c>
      <c r="B11" s="6">
        <v>118</v>
      </c>
      <c r="C11" s="12">
        <f>(B10/E10)*$E$2+(C10*D10)*(1-$E$2)</f>
        <v>198.42758008371135</v>
      </c>
      <c r="D11" s="12">
        <f>(C11/C10)*$E$3+D10*(1-$E$3)</f>
        <v>1.011395</v>
      </c>
      <c r="E11" s="1">
        <v>0.5910704</v>
      </c>
      <c r="F11" s="12">
        <f t="shared" ref="F11:F74" si="1">C11*D11*E11</f>
        <v>118.62112793586032</v>
      </c>
      <c r="G11" s="12">
        <f>(F11-B11)^2</f>
        <v>0.38579991270609559</v>
      </c>
      <c r="O11" s="7"/>
    </row>
    <row r="12" spans="1:16" ht="15" thickBot="1" x14ac:dyDescent="0.4">
      <c r="A12" s="11">
        <v>17958</v>
      </c>
      <c r="B12" s="6">
        <v>132</v>
      </c>
      <c r="C12" s="12">
        <f t="shared" ref="C12:C75" si="2">(B11/E11)*$E$2+(C11*D11)*(1-$E$2)</f>
        <v>200.38333678654473</v>
      </c>
      <c r="D12" s="12">
        <f t="shared" ref="D12:D75" si="3">(C12/C11)*$E$3+D11*(1-$E$3)</f>
        <v>1.011395</v>
      </c>
      <c r="E12" s="1">
        <v>0.66574789999999995</v>
      </c>
      <c r="F12" s="12">
        <f t="shared" si="1"/>
        <v>134.92493319323782</v>
      </c>
      <c r="G12" s="12">
        <f t="shared" ref="G12:G75" si="4">(F12-B12)^2</f>
        <v>8.5552341849043891</v>
      </c>
      <c r="O12" s="7"/>
    </row>
    <row r="13" spans="1:16" ht="15" thickBot="1" x14ac:dyDescent="0.4">
      <c r="A13" s="11">
        <v>17989</v>
      </c>
      <c r="B13" s="6">
        <v>129</v>
      </c>
      <c r="C13" s="12">
        <f t="shared" si="2"/>
        <v>201.39018534863214</v>
      </c>
      <c r="D13" s="12">
        <f t="shared" si="3"/>
        <v>1.011395</v>
      </c>
      <c r="E13" s="1">
        <v>0.63830310000000001</v>
      </c>
      <c r="F13" s="12">
        <f t="shared" si="1"/>
        <v>130.01278384534911</v>
      </c>
      <c r="G13" s="12">
        <f t="shared" si="4"/>
        <v>1.0257311174001202</v>
      </c>
      <c r="M13" s="7"/>
      <c r="O13" s="7"/>
    </row>
    <row r="14" spans="1:16" ht="15" thickBot="1" x14ac:dyDescent="0.4">
      <c r="A14" s="11">
        <v>18019</v>
      </c>
      <c r="B14" s="6">
        <v>121</v>
      </c>
      <c r="C14" s="12">
        <f t="shared" si="2"/>
        <v>203.22401566786652</v>
      </c>
      <c r="D14" s="12">
        <f t="shared" si="3"/>
        <v>1.011395</v>
      </c>
      <c r="E14" s="1">
        <v>0.60565610000000003</v>
      </c>
      <c r="F14" s="12">
        <f t="shared" si="1"/>
        <v>124.48640539463058</v>
      </c>
      <c r="G14" s="12">
        <f t="shared" si="4"/>
        <v>12.155022575709211</v>
      </c>
      <c r="I14" s="34" t="s">
        <v>20</v>
      </c>
      <c r="J14" s="35"/>
      <c r="K14" s="35"/>
      <c r="L14" s="35"/>
      <c r="M14" s="36"/>
      <c r="O14" s="7"/>
    </row>
    <row r="15" spans="1:16" ht="15" thickBot="1" x14ac:dyDescent="0.4">
      <c r="A15" s="11">
        <v>18050</v>
      </c>
      <c r="B15" s="6">
        <v>135</v>
      </c>
      <c r="C15" s="12">
        <f t="shared" si="2"/>
        <v>203.86722640339795</v>
      </c>
      <c r="D15" s="12">
        <f t="shared" si="3"/>
        <v>1.011395</v>
      </c>
      <c r="E15" s="1">
        <v>0.65875969999999995</v>
      </c>
      <c r="F15" s="12">
        <f t="shared" si="1"/>
        <v>135.82985585489078</v>
      </c>
      <c r="G15" s="12">
        <f t="shared" si="4"/>
        <v>0.68866073989650833</v>
      </c>
      <c r="I15" s="37"/>
      <c r="J15" s="38"/>
      <c r="K15" s="38"/>
      <c r="L15" s="38"/>
      <c r="M15" s="39"/>
      <c r="O15" s="7"/>
    </row>
    <row r="16" spans="1:16" ht="15" thickBot="1" x14ac:dyDescent="0.4">
      <c r="A16" s="11">
        <v>18080</v>
      </c>
      <c r="B16" s="6">
        <v>148</v>
      </c>
      <c r="C16" s="12">
        <f t="shared" si="2"/>
        <v>205.8242800634215</v>
      </c>
      <c r="D16" s="12">
        <f t="shared" si="3"/>
        <v>1.011395</v>
      </c>
      <c r="E16" s="1">
        <v>0.71519160000000004</v>
      </c>
      <c r="F16" s="12">
        <f t="shared" si="1"/>
        <v>148.88118343484808</v>
      </c>
      <c r="G16" s="12">
        <f t="shared" si="4"/>
        <v>0.77648424585066556</v>
      </c>
      <c r="I16" s="37"/>
      <c r="J16" s="38"/>
      <c r="K16" s="38"/>
      <c r="L16" s="38"/>
      <c r="M16" s="39"/>
      <c r="O16" s="7"/>
    </row>
    <row r="17" spans="1:15" ht="15" thickBot="1" x14ac:dyDescent="0.4">
      <c r="A17" s="11">
        <v>18111</v>
      </c>
      <c r="B17" s="6">
        <v>148</v>
      </c>
      <c r="C17" s="12">
        <f t="shared" si="2"/>
        <v>207.81166239018737</v>
      </c>
      <c r="D17" s="12">
        <f t="shared" si="3"/>
        <v>1.011395</v>
      </c>
      <c r="E17" s="1">
        <v>0.70527879999999998</v>
      </c>
      <c r="F17" s="12">
        <f t="shared" si="1"/>
        <v>148.23526987334984</v>
      </c>
      <c r="G17" s="12">
        <f t="shared" si="4"/>
        <v>5.5351913306047745E-2</v>
      </c>
      <c r="I17" s="37"/>
      <c r="J17" s="38"/>
      <c r="K17" s="38"/>
      <c r="L17" s="38"/>
      <c r="M17" s="39"/>
      <c r="O17" s="7"/>
    </row>
    <row r="18" spans="1:15" ht="15" thickBot="1" x14ac:dyDescent="0.4">
      <c r="A18" s="11">
        <v>18142</v>
      </c>
      <c r="B18" s="6">
        <v>136</v>
      </c>
      <c r="C18" s="12">
        <f t="shared" si="2"/>
        <v>210.08275328999977</v>
      </c>
      <c r="D18" s="12">
        <f t="shared" si="3"/>
        <v>1.011395</v>
      </c>
      <c r="E18" s="1">
        <v>0.63495230000000003</v>
      </c>
      <c r="F18" s="12">
        <f t="shared" si="1"/>
        <v>134.9125352414477</v>
      </c>
      <c r="G18" s="12">
        <f t="shared" si="4"/>
        <v>1.1825796010932137</v>
      </c>
      <c r="I18" s="37"/>
      <c r="J18" s="38"/>
      <c r="K18" s="38"/>
      <c r="L18" s="38"/>
      <c r="M18" s="39"/>
      <c r="O18" s="7"/>
    </row>
    <row r="19" spans="1:15" ht="15" thickBot="1" x14ac:dyDescent="0.4">
      <c r="A19" s="11">
        <v>18172</v>
      </c>
      <c r="B19" s="6">
        <v>119</v>
      </c>
      <c r="C19" s="12">
        <f t="shared" si="2"/>
        <v>212.97426350496642</v>
      </c>
      <c r="D19" s="12">
        <f t="shared" si="3"/>
        <v>1.011395</v>
      </c>
      <c r="E19" s="1">
        <v>0.54914070000000004</v>
      </c>
      <c r="F19" s="12">
        <f t="shared" si="1"/>
        <v>118.28551371095237</v>
      </c>
      <c r="G19" s="12">
        <f t="shared" si="4"/>
        <v>0.51049065723705001</v>
      </c>
      <c r="I19" s="37"/>
      <c r="J19" s="38"/>
      <c r="K19" s="38"/>
      <c r="L19" s="38"/>
      <c r="M19" s="39"/>
      <c r="O19" s="7"/>
    </row>
    <row r="20" spans="1:15" ht="15" thickBot="1" x14ac:dyDescent="0.4">
      <c r="A20" s="11">
        <v>18203</v>
      </c>
      <c r="B20" s="6">
        <v>104</v>
      </c>
      <c r="C20" s="12">
        <f t="shared" si="2"/>
        <v>215.77913987541086</v>
      </c>
      <c r="D20" s="12">
        <f t="shared" si="3"/>
        <v>1.011395</v>
      </c>
      <c r="E20" s="1">
        <v>0.47807699999999997</v>
      </c>
      <c r="F20" s="12">
        <f t="shared" si="1"/>
        <v>104.33454115893561</v>
      </c>
      <c r="G20" s="12">
        <f t="shared" si="4"/>
        <v>0.11191778702197942</v>
      </c>
      <c r="I20" s="37"/>
      <c r="J20" s="38"/>
      <c r="K20" s="38"/>
      <c r="L20" s="38"/>
      <c r="M20" s="39"/>
      <c r="O20" s="7"/>
    </row>
    <row r="21" spans="1:15" ht="15" thickBot="1" x14ac:dyDescent="0.4">
      <c r="A21" s="11">
        <v>18233</v>
      </c>
      <c r="B21" s="6">
        <v>118</v>
      </c>
      <c r="C21" s="12">
        <f t="shared" si="2"/>
        <v>218.034626482438</v>
      </c>
      <c r="D21" s="12">
        <f t="shared" si="3"/>
        <v>1.011395</v>
      </c>
      <c r="E21" s="1">
        <v>0.55054519999999996</v>
      </c>
      <c r="F21" s="12">
        <f t="shared" si="1"/>
        <v>121.40574910841207</v>
      </c>
      <c r="G21" s="12">
        <f t="shared" si="4"/>
        <v>11.599126989449589</v>
      </c>
      <c r="I21" s="37"/>
      <c r="J21" s="38"/>
      <c r="K21" s="38"/>
      <c r="L21" s="38"/>
      <c r="M21" s="39"/>
    </row>
    <row r="22" spans="1:15" x14ac:dyDescent="0.35">
      <c r="A22" s="11">
        <v>18264</v>
      </c>
      <c r="B22" s="6">
        <v>115</v>
      </c>
      <c r="C22" s="12">
        <f t="shared" si="2"/>
        <v>218.7217465218809</v>
      </c>
      <c r="D22" s="12">
        <f t="shared" si="3"/>
        <v>1.011395</v>
      </c>
      <c r="E22" s="15">
        <f>$E$4*(B10/(C10*D10))+(1-$E$4)*E10</f>
        <v>0.56315708934478592</v>
      </c>
      <c r="F22" s="12">
        <f t="shared" si="1"/>
        <v>124.57827787864321</v>
      </c>
      <c r="G22" s="12">
        <f t="shared" si="4"/>
        <v>91.743407120505793</v>
      </c>
      <c r="I22" s="37"/>
      <c r="J22" s="38"/>
      <c r="K22" s="38"/>
      <c r="L22" s="38"/>
      <c r="M22" s="39"/>
    </row>
    <row r="23" spans="1:15" x14ac:dyDescent="0.35">
      <c r="A23" s="11">
        <v>18295</v>
      </c>
      <c r="B23" s="6">
        <v>126</v>
      </c>
      <c r="C23" s="12">
        <f t="shared" si="2"/>
        <v>216.27234864294215</v>
      </c>
      <c r="D23" s="12">
        <f t="shared" si="3"/>
        <v>1.011395</v>
      </c>
      <c r="E23" s="6">
        <f t="shared" ref="E23:E86" si="5">$E$4*(B11/(C11*D11))+(1-$E$4)*E11</f>
        <v>0.58955041593319057</v>
      </c>
      <c r="F23" s="12">
        <f t="shared" si="1"/>
        <v>128.95635494533823</v>
      </c>
      <c r="G23" s="12">
        <f t="shared" si="4"/>
        <v>8.74003456282583</v>
      </c>
      <c r="I23" s="37"/>
      <c r="J23" s="38"/>
      <c r="K23" s="38"/>
      <c r="L23" s="38"/>
      <c r="M23" s="39"/>
    </row>
    <row r="24" spans="1:15" ht="15" thickBot="1" x14ac:dyDescent="0.4">
      <c r="A24" s="11">
        <v>18323</v>
      </c>
      <c r="B24" s="6">
        <v>141</v>
      </c>
      <c r="C24" s="12">
        <f t="shared" si="2"/>
        <v>217.27978077379572</v>
      </c>
      <c r="D24" s="12">
        <f t="shared" si="3"/>
        <v>1.011395</v>
      </c>
      <c r="E24" s="6">
        <f t="shared" si="5"/>
        <v>0.65866005264727001</v>
      </c>
      <c r="F24" s="12">
        <f t="shared" si="1"/>
        <v>144.74429031111404</v>
      </c>
      <c r="G24" s="12">
        <f t="shared" si="4"/>
        <v>14.019709933902492</v>
      </c>
      <c r="I24" s="40"/>
      <c r="J24" s="41"/>
      <c r="K24" s="41"/>
      <c r="L24" s="41"/>
      <c r="M24" s="42"/>
    </row>
    <row r="25" spans="1:15" x14ac:dyDescent="0.35">
      <c r="A25" s="11">
        <v>18354</v>
      </c>
      <c r="B25" s="6">
        <v>135</v>
      </c>
      <c r="C25" s="12">
        <f t="shared" si="2"/>
        <v>218.10399015478868</v>
      </c>
      <c r="D25" s="12">
        <f t="shared" si="3"/>
        <v>1.011395</v>
      </c>
      <c r="E25" s="6">
        <f t="shared" si="5"/>
        <v>0.63586114041066244</v>
      </c>
      <c r="F25" s="12">
        <f t="shared" si="1"/>
        <v>140.26415440043078</v>
      </c>
      <c r="G25" s="12">
        <f t="shared" si="4"/>
        <v>27.711321551574777</v>
      </c>
    </row>
    <row r="26" spans="1:15" x14ac:dyDescent="0.35">
      <c r="A26" s="11">
        <v>18384</v>
      </c>
      <c r="B26" s="6">
        <v>125</v>
      </c>
      <c r="C26" s="12">
        <f t="shared" si="2"/>
        <v>218.1838831518142</v>
      </c>
      <c r="D26" s="12">
        <f t="shared" si="3"/>
        <v>1.011395</v>
      </c>
      <c r="E26" s="6">
        <f t="shared" si="5"/>
        <v>0.59732575735640259</v>
      </c>
      <c r="F26" s="12">
        <f t="shared" si="1"/>
        <v>131.81192773936348</v>
      </c>
      <c r="G26" s="12">
        <f t="shared" si="4"/>
        <v>46.402359526309695</v>
      </c>
    </row>
    <row r="27" spans="1:15" x14ac:dyDescent="0.35">
      <c r="A27" s="11">
        <v>18415</v>
      </c>
      <c r="B27" s="6">
        <v>149</v>
      </c>
      <c r="C27" s="12">
        <f t="shared" si="2"/>
        <v>217.35664081474829</v>
      </c>
      <c r="D27" s="12">
        <f t="shared" si="3"/>
        <v>1.011395</v>
      </c>
      <c r="E27" s="6">
        <f t="shared" si="5"/>
        <v>0.65678311608449114</v>
      </c>
      <c r="F27" s="12">
        <f t="shared" si="1"/>
        <v>144.38287843426662</v>
      </c>
      <c r="G27" s="12">
        <f t="shared" si="4"/>
        <v>21.3178115527603</v>
      </c>
    </row>
    <row r="28" spans="1:15" x14ac:dyDescent="0.35">
      <c r="A28" s="11">
        <v>18445</v>
      </c>
      <c r="B28" s="6">
        <v>170</v>
      </c>
      <c r="C28" s="12">
        <f t="shared" si="2"/>
        <v>221.87596014812959</v>
      </c>
      <c r="D28" s="12">
        <f t="shared" si="3"/>
        <v>1.011395</v>
      </c>
      <c r="E28" s="6">
        <f t="shared" si="5"/>
        <v>0.71311271852943348</v>
      </c>
      <c r="F28" s="12">
        <f t="shared" si="1"/>
        <v>160.02551529265554</v>
      </c>
      <c r="G28" s="12">
        <f t="shared" si="4"/>
        <v>99.490345177048482</v>
      </c>
    </row>
    <row r="29" spans="1:15" x14ac:dyDescent="0.35">
      <c r="A29" s="11">
        <v>18476</v>
      </c>
      <c r="B29" s="6">
        <v>170</v>
      </c>
      <c r="C29" s="12">
        <f t="shared" si="2"/>
        <v>228.46823592306367</v>
      </c>
      <c r="D29" s="12">
        <f t="shared" si="3"/>
        <v>1.011395</v>
      </c>
      <c r="E29" s="6">
        <f t="shared" si="5"/>
        <v>0.70472906117336909</v>
      </c>
      <c r="F29" s="12">
        <f t="shared" si="1"/>
        <v>162.84289391064337</v>
      </c>
      <c r="G29" s="12">
        <f t="shared" si="4"/>
        <v>51.224167574305767</v>
      </c>
    </row>
    <row r="30" spans="1:15" x14ac:dyDescent="0.35">
      <c r="A30" s="11">
        <v>18507</v>
      </c>
      <c r="B30" s="6">
        <v>158</v>
      </c>
      <c r="C30" s="12">
        <f t="shared" si="2"/>
        <v>234.02240991373776</v>
      </c>
      <c r="D30" s="12">
        <f t="shared" si="3"/>
        <v>1.011395</v>
      </c>
      <c r="E30" s="6">
        <f t="shared" si="5"/>
        <v>0.63746583420779546</v>
      </c>
      <c r="F30" s="12">
        <f t="shared" si="1"/>
        <v>150.88121156717807</v>
      </c>
      <c r="G30" s="12">
        <f t="shared" si="4"/>
        <v>50.677148751279304</v>
      </c>
    </row>
    <row r="31" spans="1:15" x14ac:dyDescent="0.35">
      <c r="A31" s="11">
        <v>18537</v>
      </c>
      <c r="B31" s="6">
        <v>133</v>
      </c>
      <c r="C31" s="12">
        <f t="shared" si="2"/>
        <v>239.93376503392943</v>
      </c>
      <c r="D31" s="12">
        <f t="shared" si="3"/>
        <v>1.011395</v>
      </c>
      <c r="E31" s="6">
        <f t="shared" si="5"/>
        <v>0.55076972137547342</v>
      </c>
      <c r="F31" s="12">
        <f t="shared" si="1"/>
        <v>133.65408225828693</v>
      </c>
      <c r="G31" s="12">
        <f t="shared" si="4"/>
        <v>0.42782360060573532</v>
      </c>
    </row>
    <row r="32" spans="1:15" x14ac:dyDescent="0.35">
      <c r="A32" s="11">
        <v>18568</v>
      </c>
      <c r="B32" s="6">
        <v>114</v>
      </c>
      <c r="C32" s="12">
        <f t="shared" si="2"/>
        <v>242.32275900826295</v>
      </c>
      <c r="D32" s="12">
        <f t="shared" si="3"/>
        <v>1.011395</v>
      </c>
      <c r="E32" s="6">
        <f t="shared" si="5"/>
        <v>0.47732416446819559</v>
      </c>
      <c r="F32" s="12">
        <f t="shared" si="1"/>
        <v>116.98452833932247</v>
      </c>
      <c r="G32" s="12">
        <f t="shared" si="4"/>
        <v>8.9074094082189177</v>
      </c>
    </row>
    <row r="33" spans="1:7" x14ac:dyDescent="0.35">
      <c r="A33" s="11">
        <v>18598</v>
      </c>
      <c r="B33" s="6">
        <v>140</v>
      </c>
      <c r="C33" s="12">
        <f t="shared" si="2"/>
        <v>243.26732518213163</v>
      </c>
      <c r="D33" s="12">
        <f t="shared" si="3"/>
        <v>1.011395</v>
      </c>
      <c r="E33" s="6">
        <f t="shared" si="5"/>
        <v>0.54296034661389259</v>
      </c>
      <c r="F33" s="12">
        <f t="shared" si="1"/>
        <v>133.58961420585698</v>
      </c>
      <c r="G33" s="12">
        <f t="shared" si="4"/>
        <v>41.093046029750703</v>
      </c>
    </row>
    <row r="34" spans="1:7" x14ac:dyDescent="0.35">
      <c r="A34" s="11">
        <v>18629</v>
      </c>
      <c r="B34" s="6">
        <v>145</v>
      </c>
      <c r="C34" s="12">
        <f t="shared" si="2"/>
        <v>249.46969804736597</v>
      </c>
      <c r="D34" s="12">
        <f t="shared" si="3"/>
        <v>1.011395</v>
      </c>
      <c r="E34" s="6">
        <f t="shared" si="5"/>
        <v>0.54189257461991713</v>
      </c>
      <c r="F34" s="12">
        <f t="shared" si="1"/>
        <v>136.7262188930514</v>
      </c>
      <c r="G34" s="12">
        <f t="shared" si="4"/>
        <v>68.455453805699676</v>
      </c>
    </row>
    <row r="35" spans="1:7" x14ac:dyDescent="0.35">
      <c r="A35" s="11">
        <v>18660</v>
      </c>
      <c r="B35" s="6">
        <v>150</v>
      </c>
      <c r="C35" s="12">
        <f t="shared" si="2"/>
        <v>256.74861585508052</v>
      </c>
      <c r="D35" s="12">
        <f t="shared" si="3"/>
        <v>1.011395</v>
      </c>
      <c r="E35" s="6">
        <f t="shared" si="5"/>
        <v>0.58291274699816797</v>
      </c>
      <c r="F35" s="12">
        <f t="shared" si="1"/>
        <v>151.36743991275668</v>
      </c>
      <c r="G35" s="12">
        <f t="shared" si="4"/>
        <v>1.8698919149999969</v>
      </c>
    </row>
    <row r="36" spans="1:7" x14ac:dyDescent="0.35">
      <c r="A36" s="11">
        <v>18688</v>
      </c>
      <c r="B36" s="6">
        <v>178</v>
      </c>
      <c r="C36" s="12">
        <f t="shared" si="2"/>
        <v>258.99267191072033</v>
      </c>
      <c r="D36" s="12">
        <f t="shared" si="3"/>
        <v>1.011395</v>
      </c>
      <c r="E36" s="6">
        <f t="shared" si="5"/>
        <v>0.6502922735112413</v>
      </c>
      <c r="F36" s="12">
        <f t="shared" si="1"/>
        <v>170.34008997611727</v>
      </c>
      <c r="G36" s="12">
        <f t="shared" si="4"/>
        <v>58.674221573979132</v>
      </c>
    </row>
    <row r="37" spans="1:7" x14ac:dyDescent="0.35">
      <c r="A37" s="11">
        <v>18719</v>
      </c>
      <c r="B37" s="6">
        <v>163</v>
      </c>
      <c r="C37" s="12">
        <f t="shared" si="2"/>
        <v>265.36633781570885</v>
      </c>
      <c r="D37" s="12">
        <f t="shared" si="3"/>
        <v>1.011395</v>
      </c>
      <c r="E37" s="6">
        <f t="shared" si="5"/>
        <v>0.62414121043439996</v>
      </c>
      <c r="F37" s="12">
        <f t="shared" si="1"/>
        <v>167.51337632964231</v>
      </c>
      <c r="G37" s="12">
        <f t="shared" si="4"/>
        <v>20.370565892975513</v>
      </c>
    </row>
    <row r="38" spans="1:7" x14ac:dyDescent="0.35">
      <c r="A38" s="11">
        <v>18749</v>
      </c>
      <c r="B38" s="6">
        <v>172</v>
      </c>
      <c r="C38" s="12">
        <f t="shared" si="2"/>
        <v>266.28911968074635</v>
      </c>
      <c r="D38" s="12">
        <f t="shared" si="3"/>
        <v>1.011395</v>
      </c>
      <c r="E38" s="6">
        <f t="shared" si="5"/>
        <v>0.58216547205336022</v>
      </c>
      <c r="F38" s="12">
        <f t="shared" si="1"/>
        <v>156.79083331406255</v>
      </c>
      <c r="G38" s="12">
        <f t="shared" si="4"/>
        <v>231.31875128062947</v>
      </c>
    </row>
    <row r="39" spans="1:7" x14ac:dyDescent="0.35">
      <c r="A39" s="11">
        <v>18780</v>
      </c>
      <c r="B39" s="6">
        <v>178</v>
      </c>
      <c r="C39" s="12">
        <f t="shared" si="2"/>
        <v>276.91415756555807</v>
      </c>
      <c r="D39" s="12">
        <f t="shared" si="3"/>
        <v>1.011395</v>
      </c>
      <c r="E39" s="6">
        <f t="shared" si="5"/>
        <v>0.66709785892132378</v>
      </c>
      <c r="F39" s="12">
        <f t="shared" si="1"/>
        <v>186.83382676721146</v>
      </c>
      <c r="G39" s="12">
        <f t="shared" si="4"/>
        <v>78.036495353101714</v>
      </c>
    </row>
    <row r="40" spans="1:7" x14ac:dyDescent="0.35">
      <c r="A40" s="11">
        <v>18810</v>
      </c>
      <c r="B40" s="6">
        <v>199</v>
      </c>
      <c r="C40" s="12">
        <f t="shared" si="2"/>
        <v>276.22207639491501</v>
      </c>
      <c r="D40" s="12">
        <f t="shared" si="3"/>
        <v>1.011395</v>
      </c>
      <c r="E40" s="6">
        <f t="shared" si="5"/>
        <v>0.73494203956931015</v>
      </c>
      <c r="F40" s="12">
        <f t="shared" si="1"/>
        <v>205.32048342834477</v>
      </c>
      <c r="G40" s="12">
        <f t="shared" si="4"/>
        <v>39.948510767980885</v>
      </c>
    </row>
    <row r="41" spans="1:7" x14ac:dyDescent="0.35">
      <c r="A41" s="11">
        <v>18841</v>
      </c>
      <c r="B41" s="6">
        <v>199</v>
      </c>
      <c r="C41" s="12">
        <f t="shared" si="2"/>
        <v>276.87090153577236</v>
      </c>
      <c r="D41" s="12">
        <f t="shared" si="3"/>
        <v>1.011395</v>
      </c>
      <c r="E41" s="6">
        <f t="shared" si="5"/>
        <v>0.71994054693865173</v>
      </c>
      <c r="F41" s="12">
        <f t="shared" si="1"/>
        <v>201.60196033654702</v>
      </c>
      <c r="G41" s="12">
        <f t="shared" si="4"/>
        <v>6.770197592963898</v>
      </c>
    </row>
    <row r="42" spans="1:7" x14ac:dyDescent="0.35">
      <c r="A42" s="11">
        <v>18872</v>
      </c>
      <c r="B42" s="6">
        <v>184</v>
      </c>
      <c r="C42" s="12">
        <f t="shared" si="2"/>
        <v>278.97575825422962</v>
      </c>
      <c r="D42" s="12">
        <f t="shared" si="3"/>
        <v>1.011395</v>
      </c>
      <c r="E42" s="6">
        <f t="shared" si="5"/>
        <v>0.65223679168008175</v>
      </c>
      <c r="F42" s="12">
        <f t="shared" si="1"/>
        <v>184.03166781912014</v>
      </c>
      <c r="G42" s="12">
        <f t="shared" si="4"/>
        <v>1.002850767826203E-3</v>
      </c>
    </row>
    <row r="43" spans="1:7" x14ac:dyDescent="0.35">
      <c r="A43" s="11">
        <v>18902</v>
      </c>
      <c r="B43" s="6">
        <v>162</v>
      </c>
      <c r="C43" s="12">
        <f t="shared" si="2"/>
        <v>282.14058003498269</v>
      </c>
      <c r="D43" s="12">
        <f t="shared" si="3"/>
        <v>1.011395</v>
      </c>
      <c r="E43" s="6">
        <f t="shared" si="5"/>
        <v>0.54944598650566423</v>
      </c>
      <c r="F43" s="12">
        <f t="shared" si="1"/>
        <v>156.78747373192357</v>
      </c>
      <c r="G43" s="12">
        <f t="shared" si="4"/>
        <v>27.170430095386802</v>
      </c>
    </row>
    <row r="44" spans="1:7" x14ac:dyDescent="0.35">
      <c r="A44" s="11">
        <v>18933</v>
      </c>
      <c r="B44" s="6">
        <v>146</v>
      </c>
      <c r="C44" s="12">
        <f t="shared" si="2"/>
        <v>288.11198678441724</v>
      </c>
      <c r="D44" s="12">
        <f t="shared" si="3"/>
        <v>1.011395</v>
      </c>
      <c r="E44" s="6">
        <f t="shared" si="5"/>
        <v>0.4713436091623458</v>
      </c>
      <c r="F44" s="12">
        <f t="shared" si="1"/>
        <v>137.3471817732933</v>
      </c>
      <c r="G44" s="12">
        <f t="shared" si="4"/>
        <v>74.871263264427668</v>
      </c>
    </row>
    <row r="45" spans="1:7" x14ac:dyDescent="0.35">
      <c r="A45" s="11">
        <v>18963</v>
      </c>
      <c r="B45" s="6">
        <v>166</v>
      </c>
      <c r="C45" s="12">
        <f t="shared" si="2"/>
        <v>296.72887886072027</v>
      </c>
      <c r="D45" s="12">
        <f t="shared" si="3"/>
        <v>1.011395</v>
      </c>
      <c r="E45" s="6">
        <f t="shared" si="5"/>
        <v>0.55575593898545372</v>
      </c>
      <c r="F45" s="12">
        <f t="shared" si="1"/>
        <v>166.78797288948397</v>
      </c>
      <c r="G45" s="12">
        <f t="shared" si="4"/>
        <v>0.62090127456171251</v>
      </c>
    </row>
    <row r="46" spans="1:7" x14ac:dyDescent="0.35">
      <c r="A46" s="11">
        <v>18994</v>
      </c>
      <c r="B46" s="6">
        <v>171</v>
      </c>
      <c r="C46" s="12">
        <f t="shared" si="2"/>
        <v>299.69815065604189</v>
      </c>
      <c r="D46" s="12">
        <f t="shared" si="3"/>
        <v>1.011395</v>
      </c>
      <c r="E46" s="6">
        <f t="shared" si="5"/>
        <v>0.55799703712146331</v>
      </c>
      <c r="F46" s="12">
        <f t="shared" si="1"/>
        <v>169.13627369655697</v>
      </c>
      <c r="G46" s="12">
        <f t="shared" si="4"/>
        <v>3.4734757341454228</v>
      </c>
    </row>
    <row r="47" spans="1:7" x14ac:dyDescent="0.35">
      <c r="A47" s="11">
        <v>19025</v>
      </c>
      <c r="B47" s="6">
        <v>180</v>
      </c>
      <c r="C47" s="12">
        <f t="shared" si="2"/>
        <v>304.08365751986105</v>
      </c>
      <c r="D47" s="12">
        <f t="shared" si="3"/>
        <v>1.011395</v>
      </c>
      <c r="E47" s="6">
        <f t="shared" si="5"/>
        <v>0.58032655865478711</v>
      </c>
      <c r="F47" s="12">
        <f t="shared" si="1"/>
        <v>178.47867334918223</v>
      </c>
      <c r="G47" s="12">
        <f t="shared" si="4"/>
        <v>2.3144347784884118</v>
      </c>
    </row>
    <row r="48" spans="1:7" x14ac:dyDescent="0.35">
      <c r="A48" s="11">
        <v>19054</v>
      </c>
      <c r="B48" s="6">
        <v>193</v>
      </c>
      <c r="C48" s="12">
        <f t="shared" si="2"/>
        <v>308.310368697787</v>
      </c>
      <c r="D48" s="12">
        <f t="shared" si="3"/>
        <v>1.011395</v>
      </c>
      <c r="E48" s="6">
        <f t="shared" si="5"/>
        <v>0.664653654418774</v>
      </c>
      <c r="F48" s="12">
        <f t="shared" si="1"/>
        <v>207.25467224316958</v>
      </c>
      <c r="G48" s="12">
        <f t="shared" si="4"/>
        <v>203.19568076018925</v>
      </c>
    </row>
    <row r="49" spans="1:7" x14ac:dyDescent="0.35">
      <c r="A49" s="11">
        <v>19085</v>
      </c>
      <c r="B49" s="6">
        <v>181</v>
      </c>
      <c r="C49" s="12">
        <f t="shared" si="2"/>
        <v>305.59220068402863</v>
      </c>
      <c r="D49" s="12">
        <f t="shared" si="3"/>
        <v>1.011395</v>
      </c>
      <c r="E49" s="6">
        <f t="shared" si="5"/>
        <v>0.61588243371513651</v>
      </c>
      <c r="F49" s="12">
        <f t="shared" si="1"/>
        <v>190.35350833571329</v>
      </c>
      <c r="G49" s="12">
        <f t="shared" si="4"/>
        <v>87.488118186257935</v>
      </c>
    </row>
    <row r="50" spans="1:7" x14ac:dyDescent="0.35">
      <c r="A50" s="11">
        <v>19115</v>
      </c>
      <c r="B50" s="6">
        <v>183</v>
      </c>
      <c r="C50" s="12">
        <f t="shared" si="2"/>
        <v>304.6617883722696</v>
      </c>
      <c r="D50" s="12">
        <f t="shared" si="3"/>
        <v>1.011395</v>
      </c>
      <c r="E50" s="6">
        <f t="shared" si="5"/>
        <v>0.6098994398297497</v>
      </c>
      <c r="F50" s="12">
        <f t="shared" si="1"/>
        <v>187.93039381685654</v>
      </c>
      <c r="G50" s="12">
        <f t="shared" si="4"/>
        <v>24.308783189297166</v>
      </c>
    </row>
    <row r="51" spans="1:7" x14ac:dyDescent="0.35">
      <c r="A51" s="11">
        <v>19146</v>
      </c>
      <c r="B51" s="6">
        <v>218</v>
      </c>
      <c r="C51" s="12">
        <f t="shared" si="2"/>
        <v>305.78461666780777</v>
      </c>
      <c r="D51" s="12">
        <f t="shared" si="3"/>
        <v>1.011395</v>
      </c>
      <c r="E51" s="6">
        <f t="shared" si="5"/>
        <v>0.651607419872129</v>
      </c>
      <c r="F51" s="12">
        <f t="shared" si="1"/>
        <v>201.5219962320526</v>
      </c>
      <c r="G51" s="12">
        <f t="shared" si="4"/>
        <v>271.5246081764887</v>
      </c>
    </row>
    <row r="52" spans="1:7" x14ac:dyDescent="0.35">
      <c r="A52" s="11">
        <v>19176</v>
      </c>
      <c r="B52" s="6">
        <v>230</v>
      </c>
      <c r="C52" s="12">
        <f t="shared" si="2"/>
        <v>316.61653762432127</v>
      </c>
      <c r="D52" s="12">
        <f t="shared" si="3"/>
        <v>1.011395</v>
      </c>
      <c r="E52" s="6">
        <f t="shared" si="5"/>
        <v>0.72383107096676613</v>
      </c>
      <c r="F52" s="12">
        <f t="shared" si="1"/>
        <v>231.78835814762846</v>
      </c>
      <c r="G52" s="12">
        <f t="shared" si="4"/>
        <v>3.198224864189088</v>
      </c>
    </row>
    <row r="53" spans="1:7" x14ac:dyDescent="0.35">
      <c r="A53" s="11">
        <v>19207</v>
      </c>
      <c r="B53" s="6">
        <v>242</v>
      </c>
      <c r="C53" s="12">
        <f t="shared" si="2"/>
        <v>319.50652497196546</v>
      </c>
      <c r="D53" s="12">
        <f t="shared" si="3"/>
        <v>1.011395</v>
      </c>
      <c r="E53" s="6">
        <f t="shared" si="5"/>
        <v>0.71537720128283611</v>
      </c>
      <c r="F53" s="12">
        <f t="shared" si="1"/>
        <v>231.17221238096809</v>
      </c>
      <c r="G53" s="12">
        <f t="shared" si="4"/>
        <v>117.2409847228607</v>
      </c>
    </row>
    <row r="54" spans="1:7" x14ac:dyDescent="0.35">
      <c r="A54" s="11">
        <v>19238</v>
      </c>
      <c r="B54" s="6">
        <v>209</v>
      </c>
      <c r="C54" s="12">
        <f t="shared" si="2"/>
        <v>327.54500549056854</v>
      </c>
      <c r="D54" s="12">
        <f t="shared" si="3"/>
        <v>1.011395</v>
      </c>
      <c r="E54" s="6">
        <f t="shared" si="5"/>
        <v>0.65218167136417149</v>
      </c>
      <c r="F54" s="12">
        <f t="shared" si="1"/>
        <v>216.0530359136373</v>
      </c>
      <c r="G54" s="12">
        <f t="shared" si="4"/>
        <v>49.745315599057577</v>
      </c>
    </row>
    <row r="55" spans="1:7" x14ac:dyDescent="0.35">
      <c r="A55" s="11">
        <v>19268</v>
      </c>
      <c r="B55" s="6">
        <v>191</v>
      </c>
      <c r="C55" s="12">
        <f t="shared" si="2"/>
        <v>328.1352169333224</v>
      </c>
      <c r="D55" s="12">
        <f t="shared" si="3"/>
        <v>1.011395</v>
      </c>
      <c r="E55" s="6">
        <f t="shared" si="5"/>
        <v>0.558417024803187</v>
      </c>
      <c r="F55" s="12">
        <f t="shared" si="1"/>
        <v>185.32426911552918</v>
      </c>
      <c r="G55" s="12">
        <f t="shared" si="4"/>
        <v>32.213921072935953</v>
      </c>
    </row>
    <row r="56" spans="1:7" x14ac:dyDescent="0.35">
      <c r="A56" s="11">
        <v>19299</v>
      </c>
      <c r="B56" s="6">
        <v>172</v>
      </c>
      <c r="C56" s="12">
        <f t="shared" si="2"/>
        <v>334.82746070041441</v>
      </c>
      <c r="D56" s="12">
        <f t="shared" si="3"/>
        <v>1.011395</v>
      </c>
      <c r="E56" s="6">
        <f t="shared" si="5"/>
        <v>0.48592692434353846</v>
      </c>
      <c r="F56" s="12">
        <f t="shared" si="1"/>
        <v>164.5556637865871</v>
      </c>
      <c r="G56" s="12">
        <f t="shared" si="4"/>
        <v>55.418141658330654</v>
      </c>
    </row>
    <row r="57" spans="1:7" x14ac:dyDescent="0.35">
      <c r="A57" s="11">
        <v>19329</v>
      </c>
      <c r="B57" s="6">
        <v>194</v>
      </c>
      <c r="C57" s="12">
        <f t="shared" si="2"/>
        <v>343.09401178360946</v>
      </c>
      <c r="D57" s="12">
        <f t="shared" si="3"/>
        <v>1.011395</v>
      </c>
      <c r="E57" s="6">
        <f t="shared" si="5"/>
        <v>0.55446646831328084</v>
      </c>
      <c r="F57" s="12">
        <f t="shared" si="1"/>
        <v>192.40184286761732</v>
      </c>
      <c r="G57" s="12">
        <f t="shared" si="4"/>
        <v>2.554106219785635</v>
      </c>
    </row>
    <row r="58" spans="1:7" x14ac:dyDescent="0.35">
      <c r="A58" s="11">
        <v>19360</v>
      </c>
      <c r="B58" s="6">
        <v>196</v>
      </c>
      <c r="C58" s="12">
        <f t="shared" si="2"/>
        <v>347.84103083562178</v>
      </c>
      <c r="D58" s="12">
        <f t="shared" si="3"/>
        <v>1.011395</v>
      </c>
      <c r="E58" s="6">
        <f t="shared" si="5"/>
        <v>0.56101669736056947</v>
      </c>
      <c r="F58" s="12">
        <f t="shared" si="1"/>
        <v>197.36829934288014</v>
      </c>
      <c r="G58" s="12">
        <f t="shared" si="4"/>
        <v>1.8722430917262101</v>
      </c>
    </row>
    <row r="59" spans="1:7" x14ac:dyDescent="0.35">
      <c r="A59" s="11">
        <v>19391</v>
      </c>
      <c r="B59" s="6">
        <v>196</v>
      </c>
      <c r="C59" s="12">
        <f t="shared" si="2"/>
        <v>351.09603775611333</v>
      </c>
      <c r="D59" s="12">
        <f t="shared" si="3"/>
        <v>1.011395</v>
      </c>
      <c r="E59" s="6">
        <f t="shared" si="5"/>
        <v>0.58275590481326855</v>
      </c>
      <c r="F59" s="12">
        <f t="shared" si="1"/>
        <v>206.93474363888319</v>
      </c>
      <c r="G59" s="12">
        <f t="shared" si="4"/>
        <v>119.5686184480964</v>
      </c>
    </row>
    <row r="60" spans="1:7" x14ac:dyDescent="0.35">
      <c r="A60" s="11">
        <v>19419</v>
      </c>
      <c r="B60" s="6">
        <v>236</v>
      </c>
      <c r="C60" s="12">
        <f t="shared" si="2"/>
        <v>349.64493523145387</v>
      </c>
      <c r="D60" s="12">
        <f t="shared" si="3"/>
        <v>1.011395</v>
      </c>
      <c r="E60" s="6">
        <f t="shared" si="5"/>
        <v>0.64220299433716121</v>
      </c>
      <c r="F60" s="12">
        <f t="shared" si="1"/>
        <v>227.10169212304993</v>
      </c>
      <c r="G60" s="12">
        <f t="shared" si="4"/>
        <v>79.179883072991672</v>
      </c>
    </row>
    <row r="61" spans="1:7" x14ac:dyDescent="0.35">
      <c r="A61" s="11">
        <v>19450</v>
      </c>
      <c r="B61" s="6">
        <v>235</v>
      </c>
      <c r="C61" s="12">
        <f t="shared" si="2"/>
        <v>357.65497852163975</v>
      </c>
      <c r="D61" s="12">
        <f t="shared" si="3"/>
        <v>1.011395</v>
      </c>
      <c r="E61" s="6">
        <f t="shared" si="5"/>
        <v>0.60101991958283496</v>
      </c>
      <c r="F61" s="12">
        <f t="shared" si="1"/>
        <v>217.40721017794039</v>
      </c>
      <c r="G61" s="12">
        <f t="shared" si="4"/>
        <v>309.50625372316438</v>
      </c>
    </row>
    <row r="62" spans="1:7" x14ac:dyDescent="0.35">
      <c r="A62" s="11">
        <v>19480</v>
      </c>
      <c r="B62" s="6">
        <v>229</v>
      </c>
      <c r="C62" s="12">
        <f t="shared" si="2"/>
        <v>370.23531714726852</v>
      </c>
      <c r="D62" s="12">
        <f t="shared" si="3"/>
        <v>1.011395</v>
      </c>
      <c r="E62" s="6">
        <f t="shared" si="5"/>
        <v>0.60204122980436447</v>
      </c>
      <c r="F62" s="12">
        <f t="shared" si="1"/>
        <v>225.43683612015897</v>
      </c>
      <c r="G62" s="12">
        <f t="shared" si="4"/>
        <v>12.696136834603767</v>
      </c>
    </row>
    <row r="63" spans="1:7" x14ac:dyDescent="0.35">
      <c r="A63" s="11">
        <v>19511</v>
      </c>
      <c r="B63" s="6">
        <v>243</v>
      </c>
      <c r="C63" s="12">
        <f t="shared" si="2"/>
        <v>376.17376226539983</v>
      </c>
      <c r="D63" s="12">
        <f t="shared" si="3"/>
        <v>1.011395</v>
      </c>
      <c r="E63" s="6">
        <f t="shared" si="5"/>
        <v>0.67777412097293532</v>
      </c>
      <c r="F63" s="12">
        <f t="shared" si="1"/>
        <v>257.86611983630672</v>
      </c>
      <c r="G63" s="12">
        <f t="shared" si="4"/>
        <v>221.00151898743223</v>
      </c>
    </row>
    <row r="64" spans="1:7" x14ac:dyDescent="0.35">
      <c r="A64" s="11">
        <v>19541</v>
      </c>
      <c r="B64" s="6">
        <v>264</v>
      </c>
      <c r="C64" s="12">
        <f t="shared" si="2"/>
        <v>374.08740819739324</v>
      </c>
      <c r="D64" s="12">
        <f t="shared" si="3"/>
        <v>1.011395</v>
      </c>
      <c r="E64" s="6">
        <f t="shared" si="5"/>
        <v>0.7210883545168697</v>
      </c>
      <c r="F64" s="12">
        <f t="shared" si="1"/>
        <v>272.82387571146768</v>
      </c>
      <c r="G64" s="12">
        <f t="shared" si="4"/>
        <v>77.860782571429226</v>
      </c>
    </row>
    <row r="65" spans="1:7" x14ac:dyDescent="0.35">
      <c r="A65" s="11">
        <v>19572</v>
      </c>
      <c r="B65" s="6">
        <v>272</v>
      </c>
      <c r="C65" s="12">
        <f t="shared" si="2"/>
        <v>374.79470342772726</v>
      </c>
      <c r="D65" s="12">
        <f t="shared" si="3"/>
        <v>1.011395</v>
      </c>
      <c r="E65" s="6">
        <f t="shared" si="5"/>
        <v>0.73183303938353661</v>
      </c>
      <c r="F65" s="12">
        <f t="shared" si="1"/>
        <v>277.41264899390984</v>
      </c>
      <c r="G65" s="12">
        <f t="shared" si="4"/>
        <v>29.296769131273209</v>
      </c>
    </row>
    <row r="66" spans="1:7" x14ac:dyDescent="0.35">
      <c r="A66" s="11">
        <v>19603</v>
      </c>
      <c r="B66" s="6">
        <v>237</v>
      </c>
      <c r="C66" s="12">
        <f t="shared" si="2"/>
        <v>376.91657435593493</v>
      </c>
      <c r="D66" s="12">
        <f t="shared" si="3"/>
        <v>1.011395</v>
      </c>
      <c r="E66" s="6">
        <f t="shared" si="5"/>
        <v>0.64172568224450977</v>
      </c>
      <c r="F66" s="12">
        <f t="shared" si="1"/>
        <v>244.6332347650339</v>
      </c>
      <c r="G66" s="12">
        <f t="shared" si="4"/>
        <v>58.26627297812221</v>
      </c>
    </row>
    <row r="67" spans="1:7" x14ac:dyDescent="0.35">
      <c r="A67" s="11">
        <v>19633</v>
      </c>
      <c r="B67" s="6">
        <v>211</v>
      </c>
      <c r="C67" s="12">
        <f t="shared" si="2"/>
        <v>377.75548465850238</v>
      </c>
      <c r="D67" s="12">
        <f t="shared" si="3"/>
        <v>1.011395</v>
      </c>
      <c r="E67" s="6">
        <f t="shared" si="5"/>
        <v>0.56681605148267511</v>
      </c>
      <c r="F67" s="12">
        <f t="shared" si="1"/>
        <v>216.55774539423203</v>
      </c>
      <c r="G67" s="12">
        <f t="shared" si="4"/>
        <v>30.888533867107331</v>
      </c>
    </row>
    <row r="68" spans="1:7" x14ac:dyDescent="0.35">
      <c r="A68" s="11">
        <v>19664</v>
      </c>
      <c r="B68" s="6">
        <v>180</v>
      </c>
      <c r="C68" s="12">
        <f t="shared" si="2"/>
        <v>379.21110427336595</v>
      </c>
      <c r="D68" s="12">
        <f t="shared" si="3"/>
        <v>1.011395</v>
      </c>
      <c r="E68" s="6">
        <f t="shared" si="5"/>
        <v>0.49672297513208891</v>
      </c>
      <c r="F68" s="12">
        <f t="shared" si="1"/>
        <v>190.50926279771434</v>
      </c>
      <c r="G68" s="12">
        <f t="shared" si="4"/>
        <v>110.44460455142269</v>
      </c>
    </row>
    <row r="69" spans="1:7" x14ac:dyDescent="0.35">
      <c r="A69" s="11">
        <v>19694</v>
      </c>
      <c r="B69" s="6">
        <v>201</v>
      </c>
      <c r="C69" s="12">
        <f t="shared" si="2"/>
        <v>377.3849866501771</v>
      </c>
      <c r="D69" s="12">
        <f t="shared" si="3"/>
        <v>1.011395</v>
      </c>
      <c r="E69" s="6">
        <f t="shared" si="5"/>
        <v>0.55672833158304869</v>
      </c>
      <c r="F69" s="12">
        <f t="shared" si="1"/>
        <v>212.49501389707186</v>
      </c>
      <c r="G69" s="12">
        <f t="shared" si="4"/>
        <v>132.13534449387512</v>
      </c>
    </row>
    <row r="70" spans="1:7" x14ac:dyDescent="0.35">
      <c r="A70" s="11">
        <v>19725</v>
      </c>
      <c r="B70" s="6">
        <v>204</v>
      </c>
      <c r="C70" s="12">
        <f t="shared" si="2"/>
        <v>375.68616916987855</v>
      </c>
      <c r="D70" s="12">
        <f t="shared" si="3"/>
        <v>1.011395</v>
      </c>
      <c r="E70" s="6">
        <f t="shared" si="5"/>
        <v>0.55910657882959702</v>
      </c>
      <c r="F70" s="12">
        <f t="shared" si="1"/>
        <v>212.44211265496736</v>
      </c>
      <c r="G70" s="12">
        <f t="shared" si="4"/>
        <v>71.269266079160047</v>
      </c>
    </row>
    <row r="71" spans="1:7" x14ac:dyDescent="0.35">
      <c r="A71" s="11">
        <v>19756</v>
      </c>
      <c r="B71" s="6">
        <v>188</v>
      </c>
      <c r="C71" s="12">
        <f t="shared" si="2"/>
        <v>375.58000968261319</v>
      </c>
      <c r="D71" s="12">
        <f t="shared" si="3"/>
        <v>1.011395</v>
      </c>
      <c r="E71" s="6">
        <f t="shared" si="5"/>
        <v>0.56763273996180608</v>
      </c>
      <c r="F71" s="12">
        <f t="shared" si="1"/>
        <v>215.6208272271432</v>
      </c>
      <c r="G71" s="12">
        <f t="shared" si="4"/>
        <v>762.91009671169479</v>
      </c>
    </row>
    <row r="72" spans="1:7" x14ac:dyDescent="0.35">
      <c r="A72" s="11">
        <v>19784</v>
      </c>
      <c r="B72" s="6">
        <v>235</v>
      </c>
      <c r="C72" s="12">
        <f t="shared" si="2"/>
        <v>365.72165940255121</v>
      </c>
      <c r="D72" s="12">
        <f t="shared" si="3"/>
        <v>1.011395</v>
      </c>
      <c r="E72" s="6">
        <f t="shared" si="5"/>
        <v>0.6545607668233252</v>
      </c>
      <c r="F72" s="12">
        <f t="shared" si="1"/>
        <v>242.11486525515951</v>
      </c>
      <c r="G72" s="12">
        <f t="shared" si="4"/>
        <v>50.621307599076069</v>
      </c>
    </row>
    <row r="73" spans="1:7" x14ac:dyDescent="0.35">
      <c r="A73" s="11">
        <v>19815</v>
      </c>
      <c r="B73" s="6">
        <v>227</v>
      </c>
      <c r="C73" s="12">
        <f t="shared" si="2"/>
        <v>366.73086929086514</v>
      </c>
      <c r="D73" s="12">
        <f t="shared" si="3"/>
        <v>1.011395</v>
      </c>
      <c r="E73" s="6">
        <f t="shared" si="5"/>
        <v>0.62490520572804631</v>
      </c>
      <c r="F73" s="12">
        <f t="shared" si="1"/>
        <v>231.78344459514653</v>
      </c>
      <c r="G73" s="12">
        <f t="shared" si="4"/>
        <v>22.881342194836588</v>
      </c>
    </row>
    <row r="74" spans="1:7" x14ac:dyDescent="0.35">
      <c r="A74" s="11">
        <v>19845</v>
      </c>
      <c r="B74" s="6">
        <v>234</v>
      </c>
      <c r="C74" s="12">
        <f t="shared" si="2"/>
        <v>368.68570020083774</v>
      </c>
      <c r="D74" s="12">
        <f t="shared" si="3"/>
        <v>1.011395</v>
      </c>
      <c r="E74" s="6">
        <f t="shared" si="5"/>
        <v>0.60671446847701072</v>
      </c>
      <c r="F74" s="12">
        <f t="shared" si="1"/>
        <v>226.23586141209231</v>
      </c>
      <c r="G74" s="12">
        <f t="shared" si="4"/>
        <v>60.281848012237297</v>
      </c>
    </row>
    <row r="75" spans="1:7" x14ac:dyDescent="0.35">
      <c r="A75" s="11">
        <v>19876</v>
      </c>
      <c r="B75" s="6">
        <v>264</v>
      </c>
      <c r="C75" s="12">
        <f t="shared" si="2"/>
        <v>376.60505242542825</v>
      </c>
      <c r="D75" s="12">
        <f t="shared" si="3"/>
        <v>1.011395</v>
      </c>
      <c r="E75" s="6">
        <f t="shared" si="5"/>
        <v>0.65858437889314891</v>
      </c>
      <c r="F75" s="12">
        <f t="shared" ref="F75:F117" si="6">C75*D75*E75</f>
        <v>250.85246314035149</v>
      </c>
      <c r="G75" s="12">
        <f t="shared" si="4"/>
        <v>172.85772547581624</v>
      </c>
    </row>
    <row r="76" spans="1:7" x14ac:dyDescent="0.35">
      <c r="A76" s="11">
        <v>19906</v>
      </c>
      <c r="B76" s="6">
        <v>302</v>
      </c>
      <c r="C76" s="12">
        <f t="shared" ref="C76:C117" si="7">(B75/E75)*$E$2+(C75*D75)*(1-$E$2)</f>
        <v>386.69681832903359</v>
      </c>
      <c r="D76" s="12">
        <f t="shared" ref="D76:D117" si="8">(C76/C75)*$E$3+D75*(1-$E$3)</f>
        <v>1.011395</v>
      </c>
      <c r="E76" s="6">
        <f t="shared" si="5"/>
        <v>0.70963464139852261</v>
      </c>
      <c r="F76" s="12">
        <f t="shared" si="6"/>
        <v>277.54039935883895</v>
      </c>
      <c r="G76" s="12">
        <f t="shared" ref="G76:G117" si="9">(F76-B76)^2</f>
        <v>598.27206352508585</v>
      </c>
    </row>
    <row r="77" spans="1:7" x14ac:dyDescent="0.35">
      <c r="A77" s="11">
        <v>19937</v>
      </c>
      <c r="B77" s="6">
        <v>293</v>
      </c>
      <c r="C77" s="12">
        <f t="shared" si="7"/>
        <v>401.11788102964653</v>
      </c>
      <c r="D77" s="12">
        <f t="shared" si="8"/>
        <v>1.011395</v>
      </c>
      <c r="E77" s="6">
        <f t="shared" si="5"/>
        <v>0.72482048199407245</v>
      </c>
      <c r="F77" s="12">
        <f t="shared" si="6"/>
        <v>294.05142056892367</v>
      </c>
      <c r="G77" s="12">
        <f t="shared" si="9"/>
        <v>1.1054852127557837</v>
      </c>
    </row>
    <row r="78" spans="1:7" x14ac:dyDescent="0.35">
      <c r="A78" s="11">
        <v>19968</v>
      </c>
      <c r="B78" s="6">
        <v>259</v>
      </c>
      <c r="C78" s="12">
        <f t="shared" si="7"/>
        <v>405.26714863115438</v>
      </c>
      <c r="D78" s="12">
        <f t="shared" si="8"/>
        <v>1.011395</v>
      </c>
      <c r="E78" s="6">
        <f t="shared" si="5"/>
        <v>0.6318918364630417</v>
      </c>
      <c r="F78" s="12">
        <f t="shared" si="6"/>
        <v>259.00309141366279</v>
      </c>
      <c r="G78" s="12">
        <f t="shared" si="9"/>
        <v>9.556838434466694E-6</v>
      </c>
    </row>
    <row r="79" spans="1:7" x14ac:dyDescent="0.35">
      <c r="A79" s="11">
        <v>19998</v>
      </c>
      <c r="B79" s="6">
        <v>229</v>
      </c>
      <c r="C79" s="12">
        <f t="shared" si="7"/>
        <v>409.88374632632912</v>
      </c>
      <c r="D79" s="12">
        <f t="shared" si="8"/>
        <v>1.011395</v>
      </c>
      <c r="E79" s="6">
        <f t="shared" si="5"/>
        <v>0.55967194567908141</v>
      </c>
      <c r="F79" s="12">
        <f t="shared" si="6"/>
        <v>232.01445175193766</v>
      </c>
      <c r="G79" s="12">
        <f t="shared" si="9"/>
        <v>9.0869193647600053</v>
      </c>
    </row>
    <row r="80" spans="1:7" x14ac:dyDescent="0.35">
      <c r="A80" s="11">
        <v>20029</v>
      </c>
      <c r="B80" s="6">
        <v>203</v>
      </c>
      <c r="C80" s="12">
        <f t="shared" si="7"/>
        <v>412.98943725082228</v>
      </c>
      <c r="D80" s="12">
        <f t="shared" si="8"/>
        <v>1.011395</v>
      </c>
      <c r="E80" s="6">
        <f t="shared" si="5"/>
        <v>0.48326588332953185</v>
      </c>
      <c r="F80" s="12">
        <f t="shared" si="6"/>
        <v>201.85796151952505</v>
      </c>
      <c r="G80" s="12">
        <f t="shared" si="9"/>
        <v>1.3042518908855367</v>
      </c>
    </row>
    <row r="81" spans="1:7" x14ac:dyDescent="0.35">
      <c r="A81" s="11">
        <v>20059</v>
      </c>
      <c r="B81" s="6">
        <v>229</v>
      </c>
      <c r="C81" s="12">
        <f t="shared" si="7"/>
        <v>418.38207106535668</v>
      </c>
      <c r="D81" s="12">
        <f t="shared" si="8"/>
        <v>1.011395</v>
      </c>
      <c r="E81" s="6">
        <f t="shared" si="5"/>
        <v>0.54193776227756607</v>
      </c>
      <c r="F81" s="12">
        <f t="shared" si="6"/>
        <v>229.32071197941661</v>
      </c>
      <c r="G81" s="12">
        <f t="shared" si="9"/>
        <v>0.10285617374132307</v>
      </c>
    </row>
    <row r="82" spans="1:7" x14ac:dyDescent="0.35">
      <c r="A82" s="11">
        <v>20090</v>
      </c>
      <c r="B82" s="6">
        <v>242</v>
      </c>
      <c r="C82" s="12">
        <f t="shared" si="7"/>
        <v>422.97759073703241</v>
      </c>
      <c r="D82" s="12">
        <f t="shared" si="8"/>
        <v>1.011395</v>
      </c>
      <c r="E82" s="6">
        <f t="shared" si="5"/>
        <v>0.5481950414352994</v>
      </c>
      <c r="F82" s="12">
        <f t="shared" si="6"/>
        <v>234.51642459303653</v>
      </c>
      <c r="G82" s="12">
        <f t="shared" si="9"/>
        <v>56.003900871708424</v>
      </c>
    </row>
    <row r="83" spans="1:7" x14ac:dyDescent="0.35">
      <c r="A83" s="11">
        <v>20121</v>
      </c>
      <c r="B83" s="6">
        <v>233</v>
      </c>
      <c r="C83" s="12">
        <f t="shared" si="7"/>
        <v>431.76380992591987</v>
      </c>
      <c r="D83" s="12">
        <f t="shared" si="8"/>
        <v>1.011395</v>
      </c>
      <c r="E83" s="6">
        <f t="shared" si="5"/>
        <v>0.53192238053175334</v>
      </c>
      <c r="F83" s="12">
        <f t="shared" si="6"/>
        <v>232.28186438216386</v>
      </c>
      <c r="G83" s="12">
        <f t="shared" si="9"/>
        <v>0.51571876560489416</v>
      </c>
    </row>
    <row r="84" spans="1:7" x14ac:dyDescent="0.35">
      <c r="A84" s="11">
        <v>20149</v>
      </c>
      <c r="B84" s="6">
        <v>267</v>
      </c>
      <c r="C84" s="12">
        <f t="shared" si="7"/>
        <v>437.07602351484098</v>
      </c>
      <c r="D84" s="12">
        <f t="shared" si="8"/>
        <v>1.011395</v>
      </c>
      <c r="E84" s="6">
        <f t="shared" si="5"/>
        <v>0.64511415636863756</v>
      </c>
      <c r="F84" s="12">
        <f t="shared" si="6"/>
        <v>285.17690916312216</v>
      </c>
      <c r="G84" s="12">
        <f t="shared" si="9"/>
        <v>330.40002672439437</v>
      </c>
    </row>
    <row r="85" spans="1:7" x14ac:dyDescent="0.35">
      <c r="A85" s="11">
        <v>20180</v>
      </c>
      <c r="B85" s="6">
        <v>269</v>
      </c>
      <c r="C85" s="12">
        <f t="shared" si="7"/>
        <v>433.86988177137988</v>
      </c>
      <c r="D85" s="12">
        <f t="shared" si="8"/>
        <v>1.011395</v>
      </c>
      <c r="E85" s="6">
        <f t="shared" si="5"/>
        <v>0.61857156697653815</v>
      </c>
      <c r="F85" s="12">
        <f t="shared" si="6"/>
        <v>271.43775786138087</v>
      </c>
      <c r="G85" s="12">
        <f t="shared" si="9"/>
        <v>5.9426633907242508</v>
      </c>
    </row>
    <row r="86" spans="1:7" x14ac:dyDescent="0.35">
      <c r="A86" s="11">
        <v>20210</v>
      </c>
      <c r="B86" s="6">
        <v>270</v>
      </c>
      <c r="C86" s="12">
        <f t="shared" si="7"/>
        <v>437.66878569395647</v>
      </c>
      <c r="D86" s="12">
        <f t="shared" si="8"/>
        <v>1.011395</v>
      </c>
      <c r="E86" s="6">
        <f t="shared" si="5"/>
        <v>0.61694026141263247</v>
      </c>
      <c r="F86" s="12">
        <f t="shared" si="6"/>
        <v>273.09232162436689</v>
      </c>
      <c r="G86" s="12">
        <f t="shared" si="9"/>
        <v>9.5624530285270755</v>
      </c>
    </row>
    <row r="87" spans="1:7" x14ac:dyDescent="0.35">
      <c r="A87" s="11">
        <v>20241</v>
      </c>
      <c r="B87" s="6">
        <v>315</v>
      </c>
      <c r="C87" s="12">
        <f t="shared" si="7"/>
        <v>441.19968119029477</v>
      </c>
      <c r="D87" s="12">
        <f t="shared" si="8"/>
        <v>1.011395</v>
      </c>
      <c r="E87" s="6">
        <f t="shared" ref="E87:E117" si="10">$E$4*(B75/(C75*D75))+(1-$E$4)*E75</f>
        <v>0.67553627429236196</v>
      </c>
      <c r="F87" s="12">
        <f t="shared" si="6"/>
        <v>301.44262745121841</v>
      </c>
      <c r="G87" s="12">
        <f t="shared" si="9"/>
        <v>183.80235042645654</v>
      </c>
    </row>
    <row r="88" spans="1:7" x14ac:dyDescent="0.35">
      <c r="A88" s="11">
        <v>20271</v>
      </c>
      <c r="B88" s="6">
        <v>364</v>
      </c>
      <c r="C88" s="12">
        <f t="shared" si="7"/>
        <v>452.05822060757919</v>
      </c>
      <c r="D88" s="12">
        <f t="shared" si="8"/>
        <v>1.011395</v>
      </c>
      <c r="E88" s="6">
        <f t="shared" si="10"/>
        <v>0.74034881057519697</v>
      </c>
      <c r="F88" s="12">
        <f t="shared" si="6"/>
        <v>338.49445326541979</v>
      </c>
      <c r="G88" s="12">
        <f t="shared" si="9"/>
        <v>650.53291422985512</v>
      </c>
    </row>
    <row r="89" spans="1:7" x14ac:dyDescent="0.35">
      <c r="A89" s="11">
        <v>20302</v>
      </c>
      <c r="B89" s="6">
        <v>347</v>
      </c>
      <c r="C89" s="12">
        <f t="shared" si="7"/>
        <v>467.219089947714</v>
      </c>
      <c r="D89" s="12">
        <f t="shared" si="8"/>
        <v>1.011395</v>
      </c>
      <c r="E89" s="6">
        <f t="shared" si="10"/>
        <v>0.72354766942471138</v>
      </c>
      <c r="F89" s="12">
        <f t="shared" si="6"/>
        <v>341.90742359950826</v>
      </c>
      <c r="G89" s="12">
        <f t="shared" si="9"/>
        <v>25.934334394845376</v>
      </c>
    </row>
    <row r="90" spans="1:7" x14ac:dyDescent="0.35">
      <c r="A90" s="11">
        <v>20333</v>
      </c>
      <c r="B90" s="6">
        <v>312</v>
      </c>
      <c r="C90" s="12">
        <f t="shared" si="7"/>
        <v>474.58804403788508</v>
      </c>
      <c r="D90" s="12">
        <f t="shared" si="8"/>
        <v>1.011395</v>
      </c>
      <c r="E90" s="6">
        <f t="shared" si="10"/>
        <v>0.63188813242251163</v>
      </c>
      <c r="F90" s="12">
        <f t="shared" si="6"/>
        <v>303.30376008650336</v>
      </c>
      <c r="G90" s="12">
        <f t="shared" si="9"/>
        <v>75.62458863309206</v>
      </c>
    </row>
    <row r="91" spans="1:7" x14ac:dyDescent="0.35">
      <c r="A91" s="11">
        <v>20363</v>
      </c>
      <c r="B91" s="6">
        <v>274</v>
      </c>
      <c r="C91" s="12">
        <f t="shared" si="7"/>
        <v>483.99461789187143</v>
      </c>
      <c r="D91" s="12">
        <f t="shared" si="8"/>
        <v>1.011395</v>
      </c>
      <c r="E91" s="6">
        <f t="shared" si="10"/>
        <v>0.55610079932410961</v>
      </c>
      <c r="F91" s="12">
        <f t="shared" si="6"/>
        <v>272.21675577947923</v>
      </c>
      <c r="G91" s="12">
        <f t="shared" si="9"/>
        <v>3.179959950020733</v>
      </c>
    </row>
    <row r="92" spans="1:7" x14ac:dyDescent="0.35">
      <c r="A92" s="11">
        <v>20394</v>
      </c>
      <c r="B92" s="6">
        <v>237</v>
      </c>
      <c r="C92" s="12">
        <f t="shared" si="7"/>
        <v>490.44144200873194</v>
      </c>
      <c r="D92" s="12">
        <f t="shared" si="8"/>
        <v>1.011395</v>
      </c>
      <c r="E92" s="6">
        <f t="shared" si="10"/>
        <v>0.48460865386318031</v>
      </c>
      <c r="F92" s="12">
        <f t="shared" si="6"/>
        <v>240.38044135365405</v>
      </c>
      <c r="G92" s="12">
        <f t="shared" si="9"/>
        <v>11.427383745494422</v>
      </c>
    </row>
    <row r="93" spans="1:7" x14ac:dyDescent="0.35">
      <c r="A93" s="11">
        <v>20424</v>
      </c>
      <c r="B93" s="6">
        <v>278</v>
      </c>
      <c r="C93" s="12">
        <f t="shared" si="7"/>
        <v>494.0032564334</v>
      </c>
      <c r="D93" s="12">
        <f t="shared" si="8"/>
        <v>1.011395</v>
      </c>
      <c r="E93" s="6">
        <f t="shared" si="10"/>
        <v>0.54156554020260561</v>
      </c>
      <c r="F93" s="12">
        <f t="shared" si="6"/>
        <v>270.58370335742552</v>
      </c>
      <c r="G93" s="12">
        <f t="shared" si="9"/>
        <v>55.001455890661504</v>
      </c>
    </row>
    <row r="94" spans="1:7" x14ac:dyDescent="0.35">
      <c r="A94" s="11">
        <v>20455</v>
      </c>
      <c r="B94" s="6">
        <v>284</v>
      </c>
      <c r="C94" s="12">
        <f t="shared" si="7"/>
        <v>503.61127199817781</v>
      </c>
      <c r="D94" s="12">
        <f t="shared" si="8"/>
        <v>1.011395</v>
      </c>
      <c r="E94" s="6">
        <f t="shared" si="10"/>
        <v>0.55678620107119137</v>
      </c>
      <c r="F94" s="12">
        <f t="shared" si="6"/>
        <v>283.59900833271956</v>
      </c>
      <c r="G94" s="12">
        <f t="shared" si="9"/>
        <v>0.16079431722834434</v>
      </c>
    </row>
    <row r="95" spans="1:7" x14ac:dyDescent="0.35">
      <c r="A95" s="11">
        <v>20486</v>
      </c>
      <c r="B95" s="6">
        <v>277</v>
      </c>
      <c r="C95" s="12">
        <f t="shared" si="7"/>
        <v>509.55917376563934</v>
      </c>
      <c r="D95" s="12">
        <f t="shared" si="8"/>
        <v>1.011395</v>
      </c>
      <c r="E95" s="6">
        <f t="shared" si="10"/>
        <v>0.53273002502983724</v>
      </c>
      <c r="F95" s="12">
        <f t="shared" si="6"/>
        <v>274.55072928089089</v>
      </c>
      <c r="G95" s="12">
        <f t="shared" si="9"/>
        <v>5.9989270554852494</v>
      </c>
    </row>
    <row r="96" spans="1:7" x14ac:dyDescent="0.35">
      <c r="A96" s="11">
        <v>20515</v>
      </c>
      <c r="B96" s="6">
        <v>317</v>
      </c>
      <c r="C96" s="12">
        <f t="shared" si="7"/>
        <v>516.70142978648948</v>
      </c>
      <c r="D96" s="12">
        <f t="shared" si="8"/>
        <v>1.011395</v>
      </c>
      <c r="E96" s="6">
        <f t="shared" si="10"/>
        <v>0.62492012332307834</v>
      </c>
      <c r="F96" s="12">
        <f t="shared" si="6"/>
        <v>326.5765339197244</v>
      </c>
      <c r="G96" s="12">
        <f t="shared" si="9"/>
        <v>91.710001915631935</v>
      </c>
    </row>
    <row r="97" spans="1:7" x14ac:dyDescent="0.35">
      <c r="A97" s="11">
        <v>20546</v>
      </c>
      <c r="B97" s="6">
        <v>313</v>
      </c>
      <c r="C97" s="12">
        <f t="shared" si="7"/>
        <v>518.13672985049573</v>
      </c>
      <c r="D97" s="12">
        <f t="shared" si="8"/>
        <v>1.011395</v>
      </c>
      <c r="E97" s="6">
        <f t="shared" si="10"/>
        <v>0.61584327358461888</v>
      </c>
      <c r="F97" s="12">
        <f t="shared" si="6"/>
        <v>322.72706204704059</v>
      </c>
      <c r="G97" s="12">
        <f t="shared" si="9"/>
        <v>94.615736066977476</v>
      </c>
    </row>
    <row r="98" spans="1:7" x14ac:dyDescent="0.35">
      <c r="A98" s="11">
        <v>20576</v>
      </c>
      <c r="B98" s="6">
        <v>318</v>
      </c>
      <c r="C98" s="12">
        <f t="shared" si="7"/>
        <v>519.4517419815561</v>
      </c>
      <c r="D98" s="12">
        <f t="shared" si="8"/>
        <v>1.011395</v>
      </c>
      <c r="E98" s="6">
        <f t="shared" si="10"/>
        <v>0.61350943225523735</v>
      </c>
      <c r="F98" s="12">
        <f t="shared" si="6"/>
        <v>322.31999925808293</v>
      </c>
      <c r="G98" s="12">
        <f t="shared" si="9"/>
        <v>18.66239358983707</v>
      </c>
    </row>
    <row r="99" spans="1:7" x14ac:dyDescent="0.35">
      <c r="A99" s="11">
        <v>20607</v>
      </c>
      <c r="B99" s="6">
        <v>374</v>
      </c>
      <c r="C99" s="12">
        <f t="shared" si="7"/>
        <v>523.32499762460873</v>
      </c>
      <c r="D99" s="12">
        <f t="shared" si="8"/>
        <v>1.011395</v>
      </c>
      <c r="E99" s="6">
        <f t="shared" si="10"/>
        <v>0.69045735740249992</v>
      </c>
      <c r="F99" s="12">
        <f t="shared" si="6"/>
        <v>365.45099123669945</v>
      </c>
      <c r="G99" s="12">
        <f t="shared" si="9"/>
        <v>73.085550834989576</v>
      </c>
    </row>
    <row r="100" spans="1:7" x14ac:dyDescent="0.35">
      <c r="A100" s="11">
        <v>20637</v>
      </c>
      <c r="B100" s="6">
        <v>413</v>
      </c>
      <c r="C100" s="12">
        <f t="shared" si="7"/>
        <v>532.88578121862577</v>
      </c>
      <c r="D100" s="12">
        <f t="shared" si="8"/>
        <v>1.011395</v>
      </c>
      <c r="E100" s="6">
        <f t="shared" si="10"/>
        <v>0.76774563807085427</v>
      </c>
      <c r="F100" s="12">
        <f t="shared" si="6"/>
        <v>413.78266488588355</v>
      </c>
      <c r="G100" s="12">
        <f t="shared" si="9"/>
        <v>0.61256432359510771</v>
      </c>
    </row>
    <row r="101" spans="1:7" x14ac:dyDescent="0.35">
      <c r="A101" s="11">
        <v>20668</v>
      </c>
      <c r="B101" s="6">
        <v>405</v>
      </c>
      <c r="C101" s="12">
        <f t="shared" si="7"/>
        <v>538.66181826528862</v>
      </c>
      <c r="D101" s="12">
        <f t="shared" si="8"/>
        <v>1.011395</v>
      </c>
      <c r="E101" s="6">
        <f t="shared" si="10"/>
        <v>0.72884036582803469</v>
      </c>
      <c r="F101" s="12">
        <f t="shared" si="6"/>
        <v>397.07213632385952</v>
      </c>
      <c r="G101" s="12">
        <f t="shared" si="9"/>
        <v>62.851022467467573</v>
      </c>
    </row>
    <row r="102" spans="1:7" x14ac:dyDescent="0.35">
      <c r="A102" s="11">
        <v>20699</v>
      </c>
      <c r="B102" s="6">
        <v>355</v>
      </c>
      <c r="C102" s="12">
        <f t="shared" si="7"/>
        <v>547.96029174315981</v>
      </c>
      <c r="D102" s="12">
        <f t="shared" si="8"/>
        <v>1.011395</v>
      </c>
      <c r="E102" s="6">
        <f t="shared" si="10"/>
        <v>0.64078577033926987</v>
      </c>
      <c r="F102" s="12">
        <f t="shared" si="6"/>
        <v>355.12622883150709</v>
      </c>
      <c r="G102" s="12">
        <f t="shared" si="9"/>
        <v>1.5933717903645787E-2</v>
      </c>
    </row>
    <row r="103" spans="1:7" x14ac:dyDescent="0.35">
      <c r="A103" s="11">
        <v>20729</v>
      </c>
      <c r="B103" s="6">
        <v>306</v>
      </c>
      <c r="C103" s="12">
        <f t="shared" si="7"/>
        <v>554.1470635632852</v>
      </c>
      <c r="D103" s="12">
        <f t="shared" si="8"/>
        <v>1.011395</v>
      </c>
      <c r="E103" s="6">
        <f t="shared" si="10"/>
        <v>0.55788988155309904</v>
      </c>
      <c r="F103" s="12">
        <f t="shared" si="6"/>
        <v>312.67583854117981</v>
      </c>
      <c r="G103" s="12">
        <f t="shared" si="9"/>
        <v>44.566820227901836</v>
      </c>
    </row>
    <row r="104" spans="1:7" x14ac:dyDescent="0.35">
      <c r="A104" s="11">
        <v>20760</v>
      </c>
      <c r="B104" s="6">
        <v>271</v>
      </c>
      <c r="C104" s="12">
        <f t="shared" si="7"/>
        <v>556.9847776862988</v>
      </c>
      <c r="D104" s="12">
        <f t="shared" si="8"/>
        <v>1.011395</v>
      </c>
      <c r="E104" s="6">
        <f t="shared" si="10"/>
        <v>0.48126172675439438</v>
      </c>
      <c r="F104" s="12">
        <f t="shared" si="6"/>
        <v>271.10994780503273</v>
      </c>
      <c r="G104" s="12">
        <f t="shared" si="9"/>
        <v>1.2088519831515659E-2</v>
      </c>
    </row>
    <row r="105" spans="1:7" x14ac:dyDescent="0.35">
      <c r="A105" s="11">
        <v>20790</v>
      </c>
      <c r="B105" s="6">
        <v>306</v>
      </c>
      <c r="C105" s="12">
        <f t="shared" si="7"/>
        <v>563.26524086058737</v>
      </c>
      <c r="D105" s="12">
        <f t="shared" si="8"/>
        <v>1.011395</v>
      </c>
      <c r="E105" s="6">
        <f t="shared" si="10"/>
        <v>0.54885536834427762</v>
      </c>
      <c r="F105" s="12">
        <f t="shared" si="6"/>
        <v>312.67392861653764</v>
      </c>
      <c r="G105" s="12">
        <f t="shared" si="9"/>
        <v>44.541323178639978</v>
      </c>
    </row>
    <row r="106" spans="1:7" x14ac:dyDescent="0.35">
      <c r="A106" s="11">
        <v>20821</v>
      </c>
      <c r="B106" s="6">
        <v>315</v>
      </c>
      <c r="C106" s="12">
        <f t="shared" si="7"/>
        <v>566.15063744791701</v>
      </c>
      <c r="D106" s="12">
        <f t="shared" si="8"/>
        <v>1.011395</v>
      </c>
      <c r="E106" s="6">
        <f t="shared" si="10"/>
        <v>0.55717283495748815</v>
      </c>
      <c r="F106" s="12">
        <f t="shared" si="6"/>
        <v>319.03823727581687</v>
      </c>
      <c r="G106" s="12">
        <f t="shared" si="9"/>
        <v>16.307360295796844</v>
      </c>
    </row>
    <row r="107" spans="1:7" x14ac:dyDescent="0.35">
      <c r="A107" s="11">
        <v>20852</v>
      </c>
      <c r="B107" s="6">
        <v>301</v>
      </c>
      <c r="C107" s="12">
        <f t="shared" si="7"/>
        <v>570.49609435483319</v>
      </c>
      <c r="D107" s="12">
        <f t="shared" si="8"/>
        <v>1.011395</v>
      </c>
      <c r="E107" s="6">
        <f t="shared" si="10"/>
        <v>0.5350640321403215</v>
      </c>
      <c r="F107" s="12">
        <f t="shared" si="6"/>
        <v>308.73028642854968</v>
      </c>
      <c r="G107" s="12">
        <f t="shared" si="9"/>
        <v>59.757328267419297</v>
      </c>
    </row>
    <row r="108" spans="1:7" x14ac:dyDescent="0.35">
      <c r="A108" s="11">
        <v>20880</v>
      </c>
      <c r="B108" s="6">
        <v>356</v>
      </c>
      <c r="C108" s="12">
        <f t="shared" si="7"/>
        <v>572.79919968022182</v>
      </c>
      <c r="D108" s="12">
        <f t="shared" si="8"/>
        <v>1.011395</v>
      </c>
      <c r="E108" s="6">
        <f t="shared" si="10"/>
        <v>0.6159204095591011</v>
      </c>
      <c r="F108" s="12">
        <f t="shared" si="6"/>
        <v>356.81885904992794</v>
      </c>
      <c r="G108" s="12">
        <f t="shared" si="9"/>
        <v>0.67053014364888386</v>
      </c>
    </row>
    <row r="109" spans="1:7" x14ac:dyDescent="0.35">
      <c r="A109" s="11">
        <v>20911</v>
      </c>
      <c r="B109" s="6">
        <v>348</v>
      </c>
      <c r="C109" s="12">
        <f t="shared" si="7"/>
        <v>578.93996330234881</v>
      </c>
      <c r="D109" s="12">
        <f t="shared" si="8"/>
        <v>1.011395</v>
      </c>
      <c r="E109" s="6">
        <f t="shared" si="10"/>
        <v>0.60672742054065743</v>
      </c>
      <c r="F109" s="12">
        <f t="shared" si="6"/>
        <v>355.2613440452227</v>
      </c>
      <c r="G109" s="12">
        <f t="shared" si="9"/>
        <v>52.727117343091159</v>
      </c>
    </row>
    <row r="110" spans="1:7" x14ac:dyDescent="0.35">
      <c r="A110" s="11">
        <v>20941</v>
      </c>
      <c r="B110" s="6">
        <v>355</v>
      </c>
      <c r="C110" s="12">
        <f t="shared" si="7"/>
        <v>582.05966369508258</v>
      </c>
      <c r="D110" s="12">
        <f t="shared" si="8"/>
        <v>1.011395</v>
      </c>
      <c r="E110" s="6">
        <f t="shared" si="10"/>
        <v>0.60947113322969715</v>
      </c>
      <c r="F110" s="12">
        <f t="shared" si="6"/>
        <v>358.79092271309497</v>
      </c>
      <c r="G110" s="12">
        <f t="shared" si="9"/>
        <v>14.371095016659341</v>
      </c>
    </row>
    <row r="111" spans="1:7" x14ac:dyDescent="0.35">
      <c r="A111" s="11">
        <v>20972</v>
      </c>
      <c r="B111" s="6">
        <v>422</v>
      </c>
      <c r="C111" s="12">
        <f t="shared" si="7"/>
        <v>586.88500485013549</v>
      </c>
      <c r="D111" s="12">
        <f t="shared" si="8"/>
        <v>1.011395</v>
      </c>
      <c r="E111" s="6">
        <f t="shared" si="10"/>
        <v>0.69838975165292272</v>
      </c>
      <c r="F111" s="12">
        <f t="shared" si="6"/>
        <v>414.54499240350822</v>
      </c>
      <c r="G111" s="12">
        <f t="shared" si="9"/>
        <v>55.577138263750179</v>
      </c>
    </row>
    <row r="112" spans="1:7" x14ac:dyDescent="0.35">
      <c r="A112" s="11">
        <v>21002</v>
      </c>
      <c r="B112" s="6">
        <v>465</v>
      </c>
      <c r="C112" s="12">
        <f t="shared" si="7"/>
        <v>596.67405787515509</v>
      </c>
      <c r="D112" s="12">
        <f t="shared" si="8"/>
        <v>1.011395</v>
      </c>
      <c r="E112" s="6">
        <f t="shared" si="10"/>
        <v>0.76703245384916197</v>
      </c>
      <c r="F112" s="12">
        <f t="shared" si="6"/>
        <v>462.88349779934862</v>
      </c>
      <c r="G112" s="12">
        <f t="shared" si="9"/>
        <v>4.4795815653621442</v>
      </c>
    </row>
    <row r="113" spans="1:7" x14ac:dyDescent="0.35">
      <c r="A113" s="11">
        <v>21033</v>
      </c>
      <c r="B113" s="6">
        <v>467</v>
      </c>
      <c r="C113" s="12">
        <f t="shared" si="7"/>
        <v>604.27488540119339</v>
      </c>
      <c r="D113" s="12">
        <f t="shared" si="8"/>
        <v>1.011395</v>
      </c>
      <c r="E113" s="6">
        <f t="shared" si="10"/>
        <v>0.73598697429974957</v>
      </c>
      <c r="F113" s="12">
        <f t="shared" si="6"/>
        <v>449.80623912741947</v>
      </c>
      <c r="G113" s="12">
        <f t="shared" si="9"/>
        <v>295.62541294348108</v>
      </c>
    </row>
    <row r="114" spans="1:7" x14ac:dyDescent="0.35">
      <c r="A114" s="11">
        <v>21064</v>
      </c>
      <c r="B114" s="6">
        <v>404</v>
      </c>
      <c r="C114" s="12">
        <f t="shared" si="7"/>
        <v>617.94828901665619</v>
      </c>
      <c r="D114" s="12">
        <f t="shared" si="8"/>
        <v>1.011395</v>
      </c>
      <c r="E114" s="6">
        <f t="shared" si="10"/>
        <v>0.6406739117126774</v>
      </c>
      <c r="F114" s="12">
        <f t="shared" si="6"/>
        <v>400.41466620590865</v>
      </c>
      <c r="G114" s="12">
        <f t="shared" si="9"/>
        <v>12.854618415053508</v>
      </c>
    </row>
    <row r="115" spans="1:7" x14ac:dyDescent="0.35">
      <c r="A115" s="11">
        <v>21094</v>
      </c>
      <c r="B115" s="6">
        <v>347</v>
      </c>
      <c r="C115" s="12">
        <f t="shared" si="7"/>
        <v>626.61578484160736</v>
      </c>
      <c r="D115" s="12">
        <f t="shared" si="8"/>
        <v>1.011395</v>
      </c>
      <c r="E115" s="6">
        <f t="shared" si="10"/>
        <v>0.5520400845292377</v>
      </c>
      <c r="F115" s="12">
        <f t="shared" si="6"/>
        <v>349.85875539763839</v>
      </c>
      <c r="G115" s="12">
        <f t="shared" si="9"/>
        <v>8.1724824235266293</v>
      </c>
    </row>
    <row r="116" spans="1:7" x14ac:dyDescent="0.35">
      <c r="A116" s="11">
        <v>21125</v>
      </c>
      <c r="B116" s="6">
        <v>305</v>
      </c>
      <c r="C116" s="12">
        <f t="shared" si="7"/>
        <v>632.25144865497964</v>
      </c>
      <c r="D116" s="12">
        <f t="shared" si="8"/>
        <v>1.011395</v>
      </c>
      <c r="E116" s="6">
        <f t="shared" si="10"/>
        <v>0.48116587429810309</v>
      </c>
      <c r="F116" s="12">
        <f t="shared" si="6"/>
        <v>307.68438313938901</v>
      </c>
      <c r="G116" s="12">
        <f t="shared" si="9"/>
        <v>7.2059128390360119</v>
      </c>
    </row>
    <row r="117" spans="1:7" x14ac:dyDescent="0.35">
      <c r="A117" s="11">
        <v>21155</v>
      </c>
      <c r="B117" s="6">
        <v>336</v>
      </c>
      <c r="C117" s="12">
        <f t="shared" si="7"/>
        <v>637.83499871145057</v>
      </c>
      <c r="D117" s="12">
        <f t="shared" si="8"/>
        <v>1.011395</v>
      </c>
      <c r="E117" s="6">
        <f t="shared" si="10"/>
        <v>0.54310191475157144</v>
      </c>
      <c r="F117" s="12">
        <f t="shared" si="6"/>
        <v>350.35674431240102</v>
      </c>
      <c r="G117" s="12">
        <f t="shared" si="9"/>
        <v>206.11610725165903</v>
      </c>
    </row>
  </sheetData>
  <mergeCells count="3">
    <mergeCell ref="C1:E1"/>
    <mergeCell ref="I8:J8"/>
    <mergeCell ref="I14:M24"/>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4DFBE-FE74-4355-B66B-EC54A30E53EE}">
  <sheetPr>
    <tabColor theme="7"/>
  </sheetPr>
  <dimension ref="B2:T17"/>
  <sheetViews>
    <sheetView topLeftCell="A7" workbookViewId="0">
      <selection activeCell="E16" sqref="B16:E16"/>
    </sheetView>
  </sheetViews>
  <sheetFormatPr defaultRowHeight="14.5" x14ac:dyDescent="0.35"/>
  <cols>
    <col min="1" max="1" width="8.7265625" style="6"/>
    <col min="2" max="3" width="17.6328125" style="6" customWidth="1"/>
    <col min="4" max="4" width="87.453125" style="8" customWidth="1"/>
    <col min="5" max="5" width="22.90625" style="6" customWidth="1"/>
    <col min="6" max="16384" width="8.7265625" style="6"/>
  </cols>
  <sheetData>
    <row r="2" spans="2:20" ht="15" thickBot="1" x14ac:dyDescent="0.4"/>
    <row r="3" spans="2:20" ht="28.5" customHeight="1" x14ac:dyDescent="0.35">
      <c r="H3" s="34" t="s">
        <v>31</v>
      </c>
      <c r="I3" s="44"/>
      <c r="J3" s="44"/>
      <c r="K3" s="44"/>
      <c r="L3" s="44"/>
      <c r="M3" s="44"/>
      <c r="N3" s="44"/>
      <c r="O3" s="44"/>
      <c r="P3" s="44"/>
      <c r="Q3" s="44"/>
      <c r="R3" s="44"/>
      <c r="S3" s="44"/>
      <c r="T3" s="45"/>
    </row>
    <row r="4" spans="2:20" ht="28.5" customHeight="1" x14ac:dyDescent="0.35">
      <c r="H4" s="46"/>
      <c r="I4" s="47"/>
      <c r="J4" s="47"/>
      <c r="K4" s="47"/>
      <c r="L4" s="47"/>
      <c r="M4" s="47"/>
      <c r="N4" s="47"/>
      <c r="O4" s="47"/>
      <c r="P4" s="47"/>
      <c r="Q4" s="47"/>
      <c r="R4" s="47"/>
      <c r="S4" s="47"/>
      <c r="T4" s="48"/>
    </row>
    <row r="5" spans="2:20" ht="28.5" customHeight="1" x14ac:dyDescent="0.35">
      <c r="H5" s="46"/>
      <c r="I5" s="47"/>
      <c r="J5" s="47"/>
      <c r="K5" s="47"/>
      <c r="L5" s="47"/>
      <c r="M5" s="47"/>
      <c r="N5" s="47"/>
      <c r="O5" s="47"/>
      <c r="P5" s="47"/>
      <c r="Q5" s="47"/>
      <c r="R5" s="47"/>
      <c r="S5" s="47"/>
      <c r="T5" s="48"/>
    </row>
    <row r="6" spans="2:20" ht="28.5" customHeight="1" x14ac:dyDescent="0.35">
      <c r="H6" s="46"/>
      <c r="I6" s="47"/>
      <c r="J6" s="47"/>
      <c r="K6" s="47"/>
      <c r="L6" s="47"/>
      <c r="M6" s="47"/>
      <c r="N6" s="47"/>
      <c r="O6" s="47"/>
      <c r="P6" s="47"/>
      <c r="Q6" s="47"/>
      <c r="R6" s="47"/>
      <c r="S6" s="47"/>
      <c r="T6" s="48"/>
    </row>
    <row r="7" spans="2:20" ht="28.5" customHeight="1" thickBot="1" x14ac:dyDescent="0.4">
      <c r="H7" s="49"/>
      <c r="I7" s="50"/>
      <c r="J7" s="50"/>
      <c r="K7" s="50"/>
      <c r="L7" s="50"/>
      <c r="M7" s="50"/>
      <c r="N7" s="50"/>
      <c r="O7" s="50"/>
      <c r="P7" s="50"/>
      <c r="Q7" s="50"/>
      <c r="R7" s="50"/>
      <c r="S7" s="50"/>
      <c r="T7" s="51"/>
    </row>
    <row r="8" spans="2:20" x14ac:dyDescent="0.35">
      <c r="B8" s="5" t="s">
        <v>18</v>
      </c>
      <c r="C8" s="5" t="s">
        <v>40</v>
      </c>
      <c r="D8" s="19" t="s">
        <v>27</v>
      </c>
      <c r="E8" s="5" t="s">
        <v>30</v>
      </c>
      <c r="H8" s="26"/>
      <c r="I8" s="26"/>
      <c r="J8" s="26"/>
      <c r="K8" s="26"/>
      <c r="L8" s="26"/>
      <c r="M8" s="26"/>
      <c r="N8" s="26"/>
      <c r="O8" s="26"/>
      <c r="P8" s="26"/>
      <c r="Q8" s="26"/>
      <c r="R8" s="26"/>
      <c r="S8" s="26"/>
      <c r="T8" s="26"/>
    </row>
    <row r="9" spans="2:20" x14ac:dyDescent="0.35">
      <c r="B9" s="5"/>
      <c r="C9" s="5"/>
      <c r="D9" s="19"/>
      <c r="E9" s="5"/>
    </row>
    <row r="10" spans="2:20" ht="87" x14ac:dyDescent="0.35">
      <c r="B10" s="20" t="s">
        <v>12</v>
      </c>
      <c r="C10" s="31"/>
      <c r="D10" s="21" t="str" cm="1">
        <f t="array" aca="1" ref="D10" ca="1">INDIRECT("'"&amp;B10&amp;"'!I14")</f>
        <v>In the Base Model, the best next guess is the average of all the data that came before. The only thing that the model doesn't give us is the first guess. Try changing the value of the first guess to see what happens to the model.
The Sum of Squared Errors (SSE) is a measure of the overall success of a model in describing the data. The lower the SSE, the better the model fits the data.</v>
      </c>
      <c r="E10" s="22" cm="1">
        <f t="array" aca="1" ref="E10" ca="1">INDIRECT("'"&amp;B10&amp;"'!J10")</f>
        <v>794008.97067267017</v>
      </c>
    </row>
    <row r="11" spans="2:20" ht="72.5" x14ac:dyDescent="0.35">
      <c r="B11" s="20" t="s">
        <v>13</v>
      </c>
      <c r="C11" s="31" t="s">
        <v>33</v>
      </c>
      <c r="D11" s="21" t="str" cm="1">
        <f t="array" aca="1" ref="D11" ca="1">INDIRECT("'"&amp;B11&amp;"'!I14")</f>
        <v>In the Simple Exponential Smoothing (SES) Model, the best next guess is the weighted average (with weight alpha) of all the data that came before. Try changing the value of alpha to see what happens to the model.
The SES Model is composed of the Level only.</v>
      </c>
      <c r="E11" s="22" cm="1">
        <f t="array" aca="1" ref="E11" ca="1">INDIRECT("'"&amp;B11&amp;"'!J10")</f>
        <v>71622.487980080768</v>
      </c>
    </row>
    <row r="12" spans="2:20" ht="72.5" x14ac:dyDescent="0.35">
      <c r="B12" s="20" t="s">
        <v>28</v>
      </c>
      <c r="C12" s="31" t="s">
        <v>34</v>
      </c>
      <c r="D12" s="21" t="str" cm="1">
        <f t="array" aca="1" ref="D12" ca="1">INDIRECT("'"&amp;B12&amp;"'!I14")</f>
        <v>In the Holt Linear Model, the data is split into Level and Trend. The best next guess for each is based on the weighted average of the data that came before (with weights alpha, beta respectively). Try changing the value of alpha and beta to see what happens to the model.
Model = Level + Trend</v>
      </c>
      <c r="E12" s="22" cm="1">
        <f t="array" aca="1" ref="E12" ca="1">INDIRECT("'"&amp;B12&amp;"'!J10")</f>
        <v>71554.220746011008</v>
      </c>
    </row>
    <row r="13" spans="2:20" ht="72.5" x14ac:dyDescent="0.35">
      <c r="B13" s="20" t="s">
        <v>29</v>
      </c>
      <c r="C13" s="31" t="s">
        <v>35</v>
      </c>
      <c r="D13" s="21" t="str" cm="1">
        <f t="array" aca="1" ref="D13" ca="1">INDIRECT("'"&amp;B13&amp;"'!I14")</f>
        <v>In the Holt Linear Trend Model, the data is split into Level and Trend. The best next guess for each is based on the weighted average of the data that came before (with weights alpha, beta respectively). Try changing the value of alpha and beta to see what happens to the model.
Model = Level * Trend</v>
      </c>
      <c r="E13" s="22" cm="1">
        <f t="array" aca="1" ref="E13" ca="1">INDIRECT("'"&amp;B13&amp;"'!J10")</f>
        <v>75494.763740402806</v>
      </c>
    </row>
    <row r="14" spans="2:20" ht="72.5" x14ac:dyDescent="0.35">
      <c r="B14" s="20" t="s">
        <v>23</v>
      </c>
      <c r="C14" s="31" t="s">
        <v>36</v>
      </c>
      <c r="D14" s="21" t="str" cm="1">
        <f t="array" aca="1" ref="D14" ca="1">INDIRECT("'"&amp;B14&amp;"'!I14")</f>
        <v xml:space="preserve"> </v>
      </c>
      <c r="E14" s="22" cm="1">
        <f t="array" aca="1" ref="E14" ca="1">INDIRECT("'"&amp;B14&amp;"'!J10")</f>
        <v>11964.797142607416</v>
      </c>
    </row>
    <row r="15" spans="2:20" ht="72.5" x14ac:dyDescent="0.35">
      <c r="B15" s="20" t="s">
        <v>24</v>
      </c>
      <c r="C15" s="31" t="s">
        <v>37</v>
      </c>
      <c r="D15" s="21" t="str" cm="1">
        <f t="array" aca="1" ref="D15" ca="1">INDIRECT("'"&amp;B15&amp;"'!I14")</f>
        <v>We can adapt the Holt-Winters model by making the Trend and/or the Seasonality multiplicative. This allows for an exponential trend or for an increasing seasonality.
In this case, the Trend is multiplicative.
Model = Level * Trend + Seasonality</v>
      </c>
      <c r="E15" s="22" cm="1">
        <f t="array" aca="1" ref="E15" ca="1">INDIRECT("'"&amp;B15&amp;"'!J10")</f>
        <v>11406.262632281365</v>
      </c>
    </row>
    <row r="16" spans="2:20" ht="72.5" x14ac:dyDescent="0.35">
      <c r="B16" s="23" t="s">
        <v>25</v>
      </c>
      <c r="C16" s="32" t="s">
        <v>38</v>
      </c>
      <c r="D16" s="24" t="str" cm="1">
        <f t="array" aca="1" ref="D16" ca="1">INDIRECT("'"&amp;B16&amp;"'!I14")</f>
        <v>We can adapt the Holt-Winters model by making the Trend and/or the Seasonality multiplicative. This allows for an exponential trend or for an increasing seasonality.
In this case, the Seasonality is multiplicative.
Model = (Level + Trend) * Seasonality</v>
      </c>
      <c r="E16" s="25" cm="1">
        <f t="array" aca="1" ref="E16" ca="1">INDIRECT("'"&amp;B16&amp;"'!J10")</f>
        <v>5137.9913261914962</v>
      </c>
    </row>
    <row r="17" spans="2:5" ht="72.5" x14ac:dyDescent="0.35">
      <c r="B17" s="20" t="s">
        <v>26</v>
      </c>
      <c r="C17" s="31" t="s">
        <v>39</v>
      </c>
      <c r="D17" s="21" t="str" cm="1">
        <f t="array" aca="1" ref="D17" ca="1">INDIRECT("'"&amp;B17&amp;"'!I14")</f>
        <v>We can adapt the Holt-Winters model by making the Trend and/or the Seasonality multiplicative. This allows for an exponential trend or for an increasing seasonality.
In this case, the Trend and Seasonality are both multiplicative.
Model = Level * Trend * Seasonality</v>
      </c>
      <c r="E17" s="22" cm="1">
        <f t="array" aca="1" ref="E17" ca="1">INDIRECT("'"&amp;B17&amp;"'!J10")</f>
        <v>7472.9935411143861</v>
      </c>
    </row>
  </sheetData>
  <mergeCells count="1">
    <mergeCell ref="H3:T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58E12-BA96-42B3-86E7-85ECD5E6734A}">
  <sheetPr>
    <tabColor theme="7"/>
  </sheetPr>
  <dimension ref="B4:F9"/>
  <sheetViews>
    <sheetView workbookViewId="0">
      <selection activeCell="F17" sqref="F17"/>
    </sheetView>
  </sheetViews>
  <sheetFormatPr defaultRowHeight="14.5" x14ac:dyDescent="0.35"/>
  <cols>
    <col min="1" max="1" width="8.7265625" style="6"/>
    <col min="2" max="2" width="16.453125" style="6" bestFit="1" customWidth="1"/>
    <col min="3" max="3" width="20.26953125" style="6" customWidth="1"/>
    <col min="4" max="4" width="39.90625" style="6" customWidth="1"/>
    <col min="5" max="5" width="22.90625" style="6" customWidth="1"/>
    <col min="6" max="6" width="20.36328125" style="6" customWidth="1"/>
    <col min="7" max="16384" width="8.7265625" style="6"/>
  </cols>
  <sheetData>
    <row r="4" spans="2:6" x14ac:dyDescent="0.35">
      <c r="B4" s="43" t="s">
        <v>41</v>
      </c>
      <c r="C4" s="43"/>
      <c r="D4" s="43" t="s">
        <v>42</v>
      </c>
      <c r="E4" s="43"/>
      <c r="F4" s="43"/>
    </row>
    <row r="5" spans="2:6" x14ac:dyDescent="0.35">
      <c r="B5" s="5"/>
      <c r="C5" s="5"/>
      <c r="D5" s="5" t="s">
        <v>43</v>
      </c>
      <c r="E5" s="5" t="s">
        <v>45</v>
      </c>
      <c r="F5" s="5" t="s">
        <v>47</v>
      </c>
    </row>
    <row r="6" spans="2:6" x14ac:dyDescent="0.35">
      <c r="B6" s="5"/>
      <c r="C6" s="5"/>
      <c r="D6" s="5" t="s">
        <v>44</v>
      </c>
      <c r="E6" s="5" t="s">
        <v>46</v>
      </c>
      <c r="F6" s="5" t="s">
        <v>48</v>
      </c>
    </row>
    <row r="7" spans="2:6" x14ac:dyDescent="0.35">
      <c r="B7" s="5" t="s">
        <v>43</v>
      </c>
      <c r="C7" s="5" t="s">
        <v>44</v>
      </c>
      <c r="D7" s="6" t="s">
        <v>52</v>
      </c>
      <c r="E7" s="6" t="s">
        <v>49</v>
      </c>
      <c r="F7" s="6" t="s">
        <v>50</v>
      </c>
    </row>
    <row r="8" spans="2:6" x14ac:dyDescent="0.35">
      <c r="B8" s="5" t="s">
        <v>45</v>
      </c>
      <c r="C8" s="5" t="s">
        <v>46</v>
      </c>
      <c r="D8" s="6" t="s">
        <v>53</v>
      </c>
      <c r="E8" s="6" t="s">
        <v>36</v>
      </c>
      <c r="F8" s="6" t="s">
        <v>38</v>
      </c>
    </row>
    <row r="9" spans="2:6" x14ac:dyDescent="0.35">
      <c r="B9" s="5" t="s">
        <v>47</v>
      </c>
      <c r="C9" s="5" t="s">
        <v>48</v>
      </c>
      <c r="D9" s="6" t="s">
        <v>54</v>
      </c>
      <c r="E9" s="6" t="s">
        <v>37</v>
      </c>
      <c r="F9" s="6" t="s">
        <v>39</v>
      </c>
    </row>
  </sheetData>
  <mergeCells count="2">
    <mergeCell ref="D4:F4"/>
    <mergeCell ref="B4:C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E6586-E284-4860-B80F-D309604C961E}">
  <sheetPr codeName="Sheet10">
    <tabColor theme="7"/>
  </sheetPr>
  <dimension ref="A1:P141"/>
  <sheetViews>
    <sheetView workbookViewId="0">
      <selection activeCell="U34" sqref="U34"/>
    </sheetView>
  </sheetViews>
  <sheetFormatPr defaultRowHeight="14.5" x14ac:dyDescent="0.35"/>
  <cols>
    <col min="1" max="1" width="10.453125" style="6" bestFit="1" customWidth="1"/>
    <col min="2" max="2" width="22.36328125" style="6" bestFit="1" customWidth="1"/>
    <col min="3" max="3" width="7.6328125" style="6" bestFit="1" customWidth="1"/>
    <col min="4" max="5" width="17.26953125" style="6" customWidth="1"/>
    <col min="6" max="6" width="7.6328125" style="6" bestFit="1" customWidth="1"/>
    <col min="7" max="7" width="12.54296875" style="6" bestFit="1" customWidth="1"/>
    <col min="8" max="8" width="8.7265625" style="6"/>
    <col min="9" max="9" width="16.7265625" style="6" bestFit="1" customWidth="1"/>
    <col min="10" max="10" width="8.81640625" style="6" bestFit="1" customWidth="1"/>
    <col min="11" max="11" width="12.453125" style="6" customWidth="1"/>
    <col min="12" max="12" width="10.6328125" style="6" bestFit="1" customWidth="1"/>
    <col min="13" max="16384" width="8.7265625" style="6"/>
  </cols>
  <sheetData>
    <row r="1" spans="1:16" ht="15" thickBot="1" x14ac:dyDescent="0.4">
      <c r="C1" s="43" t="s">
        <v>0</v>
      </c>
      <c r="D1" s="43"/>
      <c r="E1" s="43"/>
      <c r="I1" s="8"/>
      <c r="J1" s="8"/>
    </row>
    <row r="2" spans="1:16" ht="15" thickBot="1" x14ac:dyDescent="0.4">
      <c r="D2" s="6" t="s">
        <v>1</v>
      </c>
      <c r="E2" s="3">
        <v>0.78283480000000005</v>
      </c>
      <c r="I2" s="8"/>
      <c r="J2" s="8"/>
    </row>
    <row r="3" spans="1:16" ht="15" thickBot="1" x14ac:dyDescent="0.4">
      <c r="D3" s="6" t="s">
        <v>9</v>
      </c>
      <c r="E3" s="3">
        <v>0</v>
      </c>
      <c r="H3" s="18"/>
      <c r="I3" s="13"/>
      <c r="J3" s="13"/>
      <c r="K3" s="13"/>
      <c r="L3" s="13"/>
    </row>
    <row r="4" spans="1:16" ht="15" thickBot="1" x14ac:dyDescent="0.4">
      <c r="D4" s="6" t="s">
        <v>10</v>
      </c>
      <c r="E4" s="3">
        <v>0</v>
      </c>
      <c r="I4" s="14"/>
      <c r="J4" s="14"/>
      <c r="K4" s="13"/>
      <c r="L4" s="13"/>
      <c r="P4" s="7"/>
    </row>
    <row r="5" spans="1:16" ht="15" thickBot="1" x14ac:dyDescent="0.4">
      <c r="D5" s="6" t="s">
        <v>11</v>
      </c>
      <c r="E5" s="4">
        <v>12</v>
      </c>
      <c r="I5" s="14"/>
      <c r="J5" s="14"/>
      <c r="K5" s="13"/>
      <c r="L5" s="13"/>
    </row>
    <row r="6" spans="1:16" x14ac:dyDescent="0.35">
      <c r="H6" s="18"/>
      <c r="I6" s="13"/>
      <c r="J6" s="13"/>
      <c r="K6" s="13"/>
      <c r="L6" s="13"/>
    </row>
    <row r="8" spans="1:16" x14ac:dyDescent="0.35">
      <c r="A8" s="5" t="s">
        <v>2</v>
      </c>
      <c r="B8" s="5" t="s">
        <v>3</v>
      </c>
      <c r="C8" s="5" t="s">
        <v>4</v>
      </c>
      <c r="D8" s="5" t="s">
        <v>5</v>
      </c>
      <c r="E8" s="5" t="s">
        <v>6</v>
      </c>
      <c r="F8" s="5" t="s">
        <v>18</v>
      </c>
      <c r="G8" s="5" t="s">
        <v>7</v>
      </c>
      <c r="I8" s="43" t="s">
        <v>16</v>
      </c>
      <c r="J8" s="43"/>
      <c r="M8" s="7"/>
    </row>
    <row r="9" spans="1:16" ht="15" thickBot="1" x14ac:dyDescent="0.4">
      <c r="A9" s="5"/>
      <c r="B9" s="5"/>
      <c r="C9" s="5"/>
      <c r="D9" s="5"/>
      <c r="E9" s="5"/>
      <c r="F9" s="5"/>
      <c r="G9" s="5"/>
      <c r="I9" s="5"/>
      <c r="J9" s="5"/>
    </row>
    <row r="10" spans="1:16" ht="15" thickBot="1" x14ac:dyDescent="0.4">
      <c r="A10" s="11">
        <v>17899</v>
      </c>
      <c r="B10" s="6">
        <v>112</v>
      </c>
      <c r="C10" s="3">
        <v>96.870742000000007</v>
      </c>
      <c r="D10" s="3">
        <v>1.8088412</v>
      </c>
      <c r="E10" s="1">
        <v>1.147035</v>
      </c>
      <c r="F10" s="12">
        <f>(C10+D10)*E10</f>
        <v>113.18893571581201</v>
      </c>
      <c r="G10" s="12">
        <f t="shared" ref="G10" si="0">(F10-B10)^2</f>
        <v>1.4135681363334112</v>
      </c>
      <c r="I10" s="9" t="s">
        <v>8</v>
      </c>
      <c r="J10" s="16">
        <f>SUM(G10:G117)</f>
        <v>5137.9913261914962</v>
      </c>
      <c r="O10" s="7"/>
    </row>
    <row r="11" spans="1:16" ht="15" thickBot="1" x14ac:dyDescent="0.4">
      <c r="A11" s="11">
        <v>17930</v>
      </c>
      <c r="B11" s="6">
        <v>118</v>
      </c>
      <c r="C11" s="12">
        <f>(B10/E10)*$E$2+(C10+D10)*(1-$E$2)</f>
        <v>97.868151767392845</v>
      </c>
      <c r="D11" s="12">
        <f>(C11-C10)*$E$3+D10*(1-$E$3)</f>
        <v>1.8088412</v>
      </c>
      <c r="E11" s="1">
        <v>1.1133329999999999</v>
      </c>
      <c r="F11" s="12">
        <f t="shared" ref="F11:F74" si="1">(C11+D11)*E11</f>
        <v>110.97368561136638</v>
      </c>
      <c r="G11" s="12">
        <f>(F11-B11)^2</f>
        <v>49.369093887919874</v>
      </c>
      <c r="O11" s="7"/>
    </row>
    <row r="12" spans="1:16" ht="15" thickBot="1" x14ac:dyDescent="0.4">
      <c r="A12" s="11">
        <v>17958</v>
      </c>
      <c r="B12" s="6">
        <v>132</v>
      </c>
      <c r="C12" s="12">
        <f t="shared" ref="C12:C75" si="2">(B11/E11)*$E$2+(C11+D11)*(1-$E$2)</f>
        <v>104.61751248775479</v>
      </c>
      <c r="D12" s="12">
        <f t="shared" ref="D12:D75" si="3">(C12-C11)*$E$3+D11*(1-$E$3)</f>
        <v>1.8088412</v>
      </c>
      <c r="E12" s="1">
        <v>1.2832307999999999</v>
      </c>
      <c r="F12" s="12">
        <f t="shared" si="1"/>
        <v>136.56957498382053</v>
      </c>
      <c r="G12" s="12">
        <f t="shared" ref="G12:G75" si="4">(F12-B12)^2</f>
        <v>20.881015532758397</v>
      </c>
      <c r="O12" s="7"/>
    </row>
    <row r="13" spans="1:16" ht="15" thickBot="1" x14ac:dyDescent="0.4">
      <c r="A13" s="11">
        <v>17989</v>
      </c>
      <c r="B13" s="6">
        <v>129</v>
      </c>
      <c r="C13" s="12">
        <f t="shared" si="2"/>
        <v>103.63868500138588</v>
      </c>
      <c r="D13" s="12">
        <f t="shared" si="3"/>
        <v>1.8088412</v>
      </c>
      <c r="E13" s="1">
        <v>1.2409722000000001</v>
      </c>
      <c r="F13" s="12">
        <f t="shared" si="1"/>
        <v>130.85744857469149</v>
      </c>
      <c r="G13" s="12">
        <f t="shared" si="4"/>
        <v>3.4501152076234431</v>
      </c>
      <c r="M13" s="7"/>
      <c r="O13" s="7"/>
    </row>
    <row r="14" spans="1:16" ht="15" thickBot="1" x14ac:dyDescent="0.4">
      <c r="A14" s="11">
        <v>18019</v>
      </c>
      <c r="B14" s="6">
        <v>121</v>
      </c>
      <c r="C14" s="12">
        <f t="shared" si="2"/>
        <v>104.27580343154551</v>
      </c>
      <c r="D14" s="12">
        <f t="shared" si="3"/>
        <v>1.8088412</v>
      </c>
      <c r="E14" s="1">
        <v>1.2383476</v>
      </c>
      <c r="F14" s="12">
        <f t="shared" si="1"/>
        <v>131.36966507632727</v>
      </c>
      <c r="G14" s="12">
        <f t="shared" si="4"/>
        <v>107.52995379520137</v>
      </c>
      <c r="I14" s="34" t="s">
        <v>21</v>
      </c>
      <c r="J14" s="35"/>
      <c r="K14" s="35"/>
      <c r="L14" s="35"/>
      <c r="M14" s="36"/>
      <c r="O14" s="7"/>
    </row>
    <row r="15" spans="1:16" ht="15" thickBot="1" x14ac:dyDescent="0.4">
      <c r="A15" s="11">
        <v>18050</v>
      </c>
      <c r="B15" s="6">
        <v>135</v>
      </c>
      <c r="C15" s="12">
        <f t="shared" si="2"/>
        <v>99.529348940663851</v>
      </c>
      <c r="D15" s="12">
        <f t="shared" si="3"/>
        <v>1.8088412</v>
      </c>
      <c r="E15" s="1">
        <v>1.4130033</v>
      </c>
      <c r="F15" s="12">
        <f t="shared" si="1"/>
        <v>143.1911970847855</v>
      </c>
      <c r="G15" s="12">
        <f t="shared" si="4"/>
        <v>67.095709681798482</v>
      </c>
      <c r="I15" s="37"/>
      <c r="J15" s="38"/>
      <c r="K15" s="38"/>
      <c r="L15" s="38"/>
      <c r="M15" s="39"/>
      <c r="O15" s="7"/>
    </row>
    <row r="16" spans="1:16" ht="15" thickBot="1" x14ac:dyDescent="0.4">
      <c r="A16" s="11">
        <v>18080</v>
      </c>
      <c r="B16" s="6">
        <v>148</v>
      </c>
      <c r="C16" s="12">
        <f t="shared" si="2"/>
        <v>96.800087411796468</v>
      </c>
      <c r="D16" s="12">
        <f t="shared" si="3"/>
        <v>1.8088412</v>
      </c>
      <c r="E16" s="1">
        <v>1.5573927000000001</v>
      </c>
      <c r="F16" s="12">
        <f t="shared" si="1"/>
        <v>153.57282557483296</v>
      </c>
      <c r="G16" s="12">
        <f t="shared" si="4"/>
        <v>31.05638488751233</v>
      </c>
      <c r="I16" s="37"/>
      <c r="J16" s="38"/>
      <c r="K16" s="38"/>
      <c r="L16" s="38"/>
      <c r="M16" s="39"/>
      <c r="O16" s="7"/>
    </row>
    <row r="17" spans="1:15" ht="15" thickBot="1" x14ac:dyDescent="0.4">
      <c r="A17" s="11">
        <v>18111</v>
      </c>
      <c r="B17" s="6">
        <v>148</v>
      </c>
      <c r="C17" s="12">
        <f t="shared" si="2"/>
        <v>95.807707189409399</v>
      </c>
      <c r="D17" s="12">
        <f t="shared" si="3"/>
        <v>1.8088412</v>
      </c>
      <c r="E17" s="1">
        <v>1.5314877</v>
      </c>
      <c r="F17" s="12">
        <f t="shared" si="1"/>
        <v>149.49854317483531</v>
      </c>
      <c r="G17" s="12">
        <f t="shared" si="4"/>
        <v>2.2456316468454758</v>
      </c>
      <c r="I17" s="37"/>
      <c r="J17" s="38"/>
      <c r="K17" s="38"/>
      <c r="L17" s="38"/>
      <c r="M17" s="39"/>
      <c r="O17" s="7"/>
    </row>
    <row r="18" spans="1:15" ht="15" thickBot="1" x14ac:dyDescent="0.4">
      <c r="A18" s="11">
        <v>18142</v>
      </c>
      <c r="B18" s="6">
        <v>136</v>
      </c>
      <c r="C18" s="12">
        <f t="shared" si="2"/>
        <v>96.850553503153662</v>
      </c>
      <c r="D18" s="12">
        <f t="shared" si="3"/>
        <v>1.8088412</v>
      </c>
      <c r="E18" s="1">
        <v>1.3376906</v>
      </c>
      <c r="F18" s="12">
        <f t="shared" si="1"/>
        <v>131.97574489609843</v>
      </c>
      <c r="G18" s="12">
        <f t="shared" si="4"/>
        <v>16.194629141277808</v>
      </c>
      <c r="I18" s="37"/>
      <c r="J18" s="38"/>
      <c r="K18" s="38"/>
      <c r="L18" s="38"/>
      <c r="M18" s="39"/>
      <c r="O18" s="7"/>
    </row>
    <row r="19" spans="1:15" ht="15" thickBot="1" x14ac:dyDescent="0.4">
      <c r="A19" s="11">
        <v>18172</v>
      </c>
      <c r="B19" s="6">
        <v>119</v>
      </c>
      <c r="C19" s="12">
        <f t="shared" si="2"/>
        <v>101.01444372526069</v>
      </c>
      <c r="D19" s="12">
        <f t="shared" si="3"/>
        <v>1.8088412</v>
      </c>
      <c r="E19" s="1">
        <v>1.1563346999999999</v>
      </c>
      <c r="F19" s="12">
        <f t="shared" si="1"/>
        <v>118.89813232706584</v>
      </c>
      <c r="G19" s="12">
        <f t="shared" si="4"/>
        <v>1.0377022789021422E-2</v>
      </c>
      <c r="I19" s="37"/>
      <c r="J19" s="38"/>
      <c r="K19" s="38"/>
      <c r="L19" s="38"/>
      <c r="M19" s="39"/>
      <c r="O19" s="7"/>
    </row>
    <row r="20" spans="1:15" ht="15" thickBot="1" x14ac:dyDescent="0.4">
      <c r="A20" s="11">
        <v>18203</v>
      </c>
      <c r="B20" s="6">
        <v>104</v>
      </c>
      <c r="C20" s="12">
        <f t="shared" si="2"/>
        <v>102.89224900578847</v>
      </c>
      <c r="D20" s="12">
        <f t="shared" si="3"/>
        <v>1.8088412</v>
      </c>
      <c r="E20" s="1">
        <v>1.0057966</v>
      </c>
      <c r="F20" s="12">
        <f t="shared" si="1"/>
        <v>105.30800054527535</v>
      </c>
      <c r="G20" s="12">
        <f t="shared" si="4"/>
        <v>1.7108654264406085</v>
      </c>
      <c r="I20" s="37"/>
      <c r="J20" s="38"/>
      <c r="K20" s="38"/>
      <c r="L20" s="38"/>
      <c r="M20" s="39"/>
      <c r="O20" s="7"/>
    </row>
    <row r="21" spans="1:15" ht="15" thickBot="1" x14ac:dyDescent="0.4">
      <c r="A21" s="11">
        <v>18233</v>
      </c>
      <c r="B21" s="6">
        <v>118</v>
      </c>
      <c r="C21" s="12">
        <f t="shared" si="2"/>
        <v>103.68304307254053</v>
      </c>
      <c r="D21" s="12">
        <f t="shared" si="3"/>
        <v>1.8088412</v>
      </c>
      <c r="E21" s="1">
        <v>1.1276615999999999</v>
      </c>
      <c r="F21" s="12">
        <f t="shared" si="1"/>
        <v>118.95914700578788</v>
      </c>
      <c r="G21" s="12">
        <f t="shared" si="4"/>
        <v>0.91996297871186261</v>
      </c>
      <c r="I21" s="37"/>
      <c r="J21" s="38"/>
      <c r="K21" s="38"/>
      <c r="L21" s="38"/>
      <c r="M21" s="39"/>
    </row>
    <row r="22" spans="1:15" x14ac:dyDescent="0.35">
      <c r="A22" s="11">
        <v>18264</v>
      </c>
      <c r="B22" s="6">
        <v>115</v>
      </c>
      <c r="C22" s="12">
        <f t="shared" si="2"/>
        <v>104.82603411461501</v>
      </c>
      <c r="D22" s="12">
        <f t="shared" si="3"/>
        <v>1.8088412</v>
      </c>
      <c r="E22" s="15">
        <f>$E$4*(B10/(C10+D10))+(1-$E$4)*E10</f>
        <v>1.147035</v>
      </c>
      <c r="F22" s="12">
        <f t="shared" si="1"/>
        <v>122.31393420649944</v>
      </c>
      <c r="G22" s="12">
        <f t="shared" si="4"/>
        <v>53.493633577002583</v>
      </c>
      <c r="I22" s="37"/>
      <c r="J22" s="38"/>
      <c r="K22" s="38"/>
      <c r="L22" s="38"/>
      <c r="M22" s="39"/>
    </row>
    <row r="23" spans="1:15" x14ac:dyDescent="0.35">
      <c r="A23" s="11">
        <v>18295</v>
      </c>
      <c r="B23" s="6">
        <v>126</v>
      </c>
      <c r="C23" s="12">
        <f t="shared" si="2"/>
        <v>101.6432209869283</v>
      </c>
      <c r="D23" s="12">
        <f t="shared" si="3"/>
        <v>1.8088412</v>
      </c>
      <c r="E23" s="6">
        <f t="shared" ref="E23:E86" si="5">$E$4*(B11/(C11+D11))+(1-$E$4)*E11</f>
        <v>1.1133329999999999</v>
      </c>
      <c r="F23" s="12">
        <f t="shared" si="1"/>
        <v>115.17659475075943</v>
      </c>
      <c r="G23" s="12">
        <f t="shared" si="4"/>
        <v>117.14610118928822</v>
      </c>
      <c r="I23" s="37"/>
      <c r="J23" s="38"/>
      <c r="K23" s="38"/>
      <c r="L23" s="38"/>
      <c r="M23" s="39"/>
    </row>
    <row r="24" spans="1:15" ht="15" thickBot="1" x14ac:dyDescent="0.4">
      <c r="A24" s="11">
        <v>18323</v>
      </c>
      <c r="B24" s="6">
        <v>141</v>
      </c>
      <c r="C24" s="12">
        <f t="shared" si="2"/>
        <v>111.06248807353023</v>
      </c>
      <c r="D24" s="12">
        <f t="shared" si="3"/>
        <v>1.8088412</v>
      </c>
      <c r="E24" s="6">
        <f t="shared" si="5"/>
        <v>1.2832307999999999</v>
      </c>
      <c r="F24" s="12">
        <f t="shared" si="1"/>
        <v>144.8399661607356</v>
      </c>
      <c r="G24" s="12">
        <f t="shared" si="4"/>
        <v>14.7453401155945</v>
      </c>
      <c r="I24" s="40"/>
      <c r="J24" s="41"/>
      <c r="K24" s="41"/>
      <c r="L24" s="41"/>
      <c r="M24" s="42"/>
    </row>
    <row r="25" spans="1:15" x14ac:dyDescent="0.35">
      <c r="A25" s="11">
        <v>18354</v>
      </c>
      <c r="B25" s="6">
        <v>135</v>
      </c>
      <c r="C25" s="12">
        <f t="shared" si="2"/>
        <v>110.52875836466004</v>
      </c>
      <c r="D25" s="12">
        <f t="shared" si="3"/>
        <v>1.8088412</v>
      </c>
      <c r="E25" s="6">
        <f t="shared" si="5"/>
        <v>1.2409722000000001</v>
      </c>
      <c r="F25" s="12">
        <f t="shared" si="1"/>
        <v>139.40783807447522</v>
      </c>
      <c r="G25" s="12">
        <f t="shared" si="4"/>
        <v>19.429036490793436</v>
      </c>
    </row>
    <row r="26" spans="1:15" x14ac:dyDescent="0.35">
      <c r="A26" s="11">
        <v>18384</v>
      </c>
      <c r="B26" s="6">
        <v>125</v>
      </c>
      <c r="C26" s="12">
        <f t="shared" si="2"/>
        <v>109.55703039682196</v>
      </c>
      <c r="D26" s="12">
        <f t="shared" si="3"/>
        <v>1.8088412</v>
      </c>
      <c r="E26" s="6">
        <f t="shared" si="5"/>
        <v>1.2383476</v>
      </c>
      <c r="F26" s="12">
        <f t="shared" si="1"/>
        <v>137.90965981383263</v>
      </c>
      <c r="G26" s="12">
        <f t="shared" si="4"/>
        <v>166.65931650888521</v>
      </c>
    </row>
    <row r="27" spans="1:15" x14ac:dyDescent="0.35">
      <c r="A27" s="11">
        <v>18415</v>
      </c>
      <c r="B27" s="6">
        <v>149</v>
      </c>
      <c r="C27" s="12">
        <f t="shared" si="2"/>
        <v>103.20489082015658</v>
      </c>
      <c r="D27" s="12">
        <f t="shared" si="3"/>
        <v>1.8088412</v>
      </c>
      <c r="E27" s="6">
        <f t="shared" si="5"/>
        <v>1.4130033</v>
      </c>
      <c r="F27" s="12">
        <f t="shared" si="1"/>
        <v>148.38474988979692</v>
      </c>
      <c r="G27" s="12">
        <f t="shared" si="4"/>
        <v>0.37853269810489998</v>
      </c>
    </row>
    <row r="28" spans="1:15" x14ac:dyDescent="0.35">
      <c r="A28" s="11">
        <v>18445</v>
      </c>
      <c r="B28" s="6">
        <v>170</v>
      </c>
      <c r="C28" s="12">
        <f t="shared" si="2"/>
        <v>105.35459406695492</v>
      </c>
      <c r="D28" s="12">
        <f t="shared" si="3"/>
        <v>1.8088412</v>
      </c>
      <c r="E28" s="6">
        <f t="shared" si="5"/>
        <v>1.5573927000000001</v>
      </c>
      <c r="F28" s="12">
        <f t="shared" si="1"/>
        <v>166.89555179167814</v>
      </c>
      <c r="G28" s="12">
        <f t="shared" si="4"/>
        <v>9.6375986781527789</v>
      </c>
    </row>
    <row r="29" spans="1:15" x14ac:dyDescent="0.35">
      <c r="A29" s="11">
        <v>18476</v>
      </c>
      <c r="B29" s="6">
        <v>170</v>
      </c>
      <c r="C29" s="12">
        <f t="shared" si="2"/>
        <v>108.72390880216027</v>
      </c>
      <c r="D29" s="12">
        <f t="shared" si="3"/>
        <v>1.8088412</v>
      </c>
      <c r="E29" s="6">
        <f t="shared" si="5"/>
        <v>1.5314877</v>
      </c>
      <c r="F29" s="12">
        <f t="shared" si="1"/>
        <v>169.27954707548344</v>
      </c>
      <c r="G29" s="12">
        <f t="shared" si="4"/>
        <v>0.51905241644447064</v>
      </c>
    </row>
    <row r="30" spans="1:15" x14ac:dyDescent="0.35">
      <c r="A30" s="11">
        <v>18507</v>
      </c>
      <c r="B30" s="6">
        <v>158</v>
      </c>
      <c r="C30" s="12">
        <f t="shared" si="2"/>
        <v>110.90101650607888</v>
      </c>
      <c r="D30" s="12">
        <f t="shared" si="3"/>
        <v>1.8088412</v>
      </c>
      <c r="E30" s="6">
        <f t="shared" si="5"/>
        <v>1.3376906</v>
      </c>
      <c r="F30" s="12">
        <f t="shared" si="1"/>
        <v>150.77091718075928</v>
      </c>
      <c r="G30" s="12">
        <f t="shared" si="4"/>
        <v>52.259638407441301</v>
      </c>
    </row>
    <row r="31" spans="1:15" x14ac:dyDescent="0.35">
      <c r="A31" s="11">
        <v>18537</v>
      </c>
      <c r="B31" s="6">
        <v>133</v>
      </c>
      <c r="C31" s="12">
        <f t="shared" si="2"/>
        <v>116.94041565646273</v>
      </c>
      <c r="D31" s="12">
        <f t="shared" si="3"/>
        <v>1.8088412</v>
      </c>
      <c r="E31" s="6">
        <f t="shared" si="5"/>
        <v>1.1563346999999999</v>
      </c>
      <c r="F31" s="12">
        <f t="shared" si="1"/>
        <v>137.31388630234076</v>
      </c>
      <c r="G31" s="12">
        <f t="shared" si="4"/>
        <v>18.609615029523255</v>
      </c>
    </row>
    <row r="32" spans="1:15" x14ac:dyDescent="0.35">
      <c r="A32" s="11">
        <v>18568</v>
      </c>
      <c r="B32" s="6">
        <v>114</v>
      </c>
      <c r="C32" s="12">
        <f t="shared" si="2"/>
        <v>115.82876997605027</v>
      </c>
      <c r="D32" s="12">
        <f t="shared" si="3"/>
        <v>1.8088412</v>
      </c>
      <c r="E32" s="6">
        <f t="shared" si="5"/>
        <v>1.0057966</v>
      </c>
      <c r="F32" s="12">
        <f t="shared" si="1"/>
        <v>118.31950935299336</v>
      </c>
      <c r="G32" s="12">
        <f t="shared" si="4"/>
        <v>18.658161050597155</v>
      </c>
    </row>
    <row r="33" spans="1:7" x14ac:dyDescent="0.35">
      <c r="A33" s="11">
        <v>18598</v>
      </c>
      <c r="B33" s="6">
        <v>140</v>
      </c>
      <c r="C33" s="12">
        <f t="shared" si="2"/>
        <v>114.27563695536917</v>
      </c>
      <c r="D33" s="12">
        <f t="shared" si="3"/>
        <v>1.8088412</v>
      </c>
      <c r="E33" s="6">
        <f t="shared" si="5"/>
        <v>1.1276615999999999</v>
      </c>
      <c r="F33" s="12">
        <f t="shared" si="1"/>
        <v>130.90400837184865</v>
      </c>
      <c r="G33" s="12">
        <f t="shared" si="4"/>
        <v>82.737063699399499</v>
      </c>
    </row>
    <row r="34" spans="1:7" x14ac:dyDescent="0.35">
      <c r="A34" s="11">
        <v>18629</v>
      </c>
      <c r="B34" s="6">
        <v>145</v>
      </c>
      <c r="C34" s="12">
        <f t="shared" si="2"/>
        <v>122.39901328454758</v>
      </c>
      <c r="D34" s="12">
        <f t="shared" si="3"/>
        <v>1.8088412</v>
      </c>
      <c r="E34" s="6">
        <f t="shared" si="5"/>
        <v>1.147035</v>
      </c>
      <c r="F34" s="12">
        <f t="shared" si="1"/>
        <v>142.47075636868303</v>
      </c>
      <c r="G34" s="12">
        <f t="shared" si="4"/>
        <v>6.3970733465574687</v>
      </c>
    </row>
    <row r="35" spans="1:7" x14ac:dyDescent="0.35">
      <c r="A35" s="11">
        <v>18660</v>
      </c>
      <c r="B35" s="6">
        <v>150</v>
      </c>
      <c r="C35" s="12">
        <f t="shared" si="2"/>
        <v>125.93402668702902</v>
      </c>
      <c r="D35" s="12">
        <f t="shared" si="3"/>
        <v>1.8088412</v>
      </c>
      <c r="E35" s="6">
        <f t="shared" si="5"/>
        <v>1.1133329999999999</v>
      </c>
      <c r="F35" s="12">
        <f t="shared" si="1"/>
        <v>142.22035033326966</v>
      </c>
      <c r="G35" s="12">
        <f t="shared" si="4"/>
        <v>60.522948937057429</v>
      </c>
    </row>
    <row r="36" spans="1:7" x14ac:dyDescent="0.35">
      <c r="A36" s="11">
        <v>18688</v>
      </c>
      <c r="B36" s="6">
        <v>178</v>
      </c>
      <c r="C36" s="12">
        <f t="shared" si="2"/>
        <v>133.21309152265727</v>
      </c>
      <c r="D36" s="12">
        <f t="shared" si="3"/>
        <v>1.8088412</v>
      </c>
      <c r="E36" s="6">
        <f t="shared" si="5"/>
        <v>1.2832307999999999</v>
      </c>
      <c r="F36" s="12">
        <f t="shared" si="1"/>
        <v>173.26430274524162</v>
      </c>
      <c r="G36" s="12">
        <f t="shared" si="4"/>
        <v>22.426828488726038</v>
      </c>
    </row>
    <row r="37" spans="1:7" x14ac:dyDescent="0.35">
      <c r="A37" s="11">
        <v>18719</v>
      </c>
      <c r="B37" s="6">
        <v>163</v>
      </c>
      <c r="C37" s="12">
        <f t="shared" si="2"/>
        <v>137.91094428105293</v>
      </c>
      <c r="D37" s="12">
        <f t="shared" si="3"/>
        <v>1.8088412</v>
      </c>
      <c r="E37" s="6">
        <f t="shared" si="5"/>
        <v>1.2409722000000001</v>
      </c>
      <c r="F37" s="12">
        <f t="shared" si="1"/>
        <v>173.38836957195031</v>
      </c>
      <c r="G37" s="12">
        <f t="shared" si="4"/>
        <v>107.918222363423</v>
      </c>
    </row>
    <row r="38" spans="1:7" x14ac:dyDescent="0.35">
      <c r="A38" s="11">
        <v>18749</v>
      </c>
      <c r="B38" s="6">
        <v>172</v>
      </c>
      <c r="C38" s="12">
        <f t="shared" si="2"/>
        <v>133.16655470264885</v>
      </c>
      <c r="D38" s="12">
        <f t="shared" si="3"/>
        <v>1.8088412</v>
      </c>
      <c r="E38" s="6">
        <f t="shared" si="5"/>
        <v>1.2383476</v>
      </c>
      <c r="F38" s="12">
        <f t="shared" si="1"/>
        <v>167.14645757509501</v>
      </c>
      <c r="G38" s="12">
        <f t="shared" si="4"/>
        <v>23.556874070352578</v>
      </c>
    </row>
    <row r="39" spans="1:7" x14ac:dyDescent="0.35">
      <c r="A39" s="11">
        <v>18780</v>
      </c>
      <c r="B39" s="6">
        <v>178</v>
      </c>
      <c r="C39" s="12">
        <f t="shared" si="2"/>
        <v>138.04361512759991</v>
      </c>
      <c r="D39" s="12">
        <f t="shared" si="3"/>
        <v>1.8088412</v>
      </c>
      <c r="E39" s="6">
        <f t="shared" si="5"/>
        <v>1.4130033</v>
      </c>
      <c r="F39" s="12">
        <f t="shared" si="1"/>
        <v>197.61198230400453</v>
      </c>
      <c r="G39" s="12">
        <f t="shared" si="4"/>
        <v>384.62984989258672</v>
      </c>
    </row>
    <row r="40" spans="1:7" x14ac:dyDescent="0.35">
      <c r="A40" s="11">
        <v>18810</v>
      </c>
      <c r="B40" s="6">
        <v>199</v>
      </c>
      <c r="C40" s="12">
        <f t="shared" si="2"/>
        <v>128.98698825363365</v>
      </c>
      <c r="D40" s="12">
        <f t="shared" si="3"/>
        <v>1.8088412</v>
      </c>
      <c r="E40" s="6">
        <f t="shared" si="5"/>
        <v>1.5573927000000001</v>
      </c>
      <c r="F40" s="12">
        <f t="shared" si="1"/>
        <v>203.70046998153404</v>
      </c>
      <c r="G40" s="12">
        <f t="shared" si="4"/>
        <v>22.094418047302632</v>
      </c>
    </row>
    <row r="41" spans="1:7" x14ac:dyDescent="0.35">
      <c r="A41" s="11">
        <v>18841</v>
      </c>
      <c r="B41" s="6">
        <v>199</v>
      </c>
      <c r="C41" s="12">
        <f t="shared" si="2"/>
        <v>128.43310393302463</v>
      </c>
      <c r="D41" s="12">
        <f t="shared" si="3"/>
        <v>1.8088412</v>
      </c>
      <c r="E41" s="6">
        <f t="shared" si="5"/>
        <v>1.5314877</v>
      </c>
      <c r="F41" s="12">
        <f t="shared" si="1"/>
        <v>199.46393699530205</v>
      </c>
      <c r="G41" s="12">
        <f t="shared" si="4"/>
        <v>0.21523753560989356</v>
      </c>
    </row>
    <row r="42" spans="1:7" x14ac:dyDescent="0.35">
      <c r="A42" s="11">
        <v>18872</v>
      </c>
      <c r="B42" s="6">
        <v>184</v>
      </c>
      <c r="C42" s="12">
        <f t="shared" si="2"/>
        <v>130.00479923565314</v>
      </c>
      <c r="D42" s="12">
        <f t="shared" si="3"/>
        <v>1.8088412</v>
      </c>
      <c r="E42" s="6">
        <f t="shared" si="5"/>
        <v>1.3376906</v>
      </c>
      <c r="F42" s="12">
        <f t="shared" si="1"/>
        <v>176.32586776255309</v>
      </c>
      <c r="G42" s="12">
        <f t="shared" si="4"/>
        <v>58.892305597821952</v>
      </c>
    </row>
    <row r="43" spans="1:7" x14ac:dyDescent="0.35">
      <c r="A43" s="11">
        <v>18902</v>
      </c>
      <c r="B43" s="6">
        <v>162</v>
      </c>
      <c r="C43" s="12">
        <f t="shared" si="2"/>
        <v>136.30464738096271</v>
      </c>
      <c r="D43" s="12">
        <f t="shared" si="3"/>
        <v>1.8088412</v>
      </c>
      <c r="E43" s="6">
        <f t="shared" si="5"/>
        <v>1.1563346999999999</v>
      </c>
      <c r="F43" s="12">
        <f t="shared" si="1"/>
        <v>159.7054193842209</v>
      </c>
      <c r="G43" s="12">
        <f t="shared" si="4"/>
        <v>5.2651002023091795</v>
      </c>
    </row>
    <row r="44" spans="1:7" x14ac:dyDescent="0.35">
      <c r="A44" s="11">
        <v>18933</v>
      </c>
      <c r="B44" s="6">
        <v>146</v>
      </c>
      <c r="C44" s="12">
        <f t="shared" si="2"/>
        <v>139.66691213336262</v>
      </c>
      <c r="D44" s="12">
        <f t="shared" si="3"/>
        <v>1.8088412</v>
      </c>
      <c r="E44" s="6">
        <f t="shared" si="5"/>
        <v>1.0057966</v>
      </c>
      <c r="F44" s="12">
        <f t="shared" si="1"/>
        <v>142.29583168513477</v>
      </c>
      <c r="G44" s="12">
        <f t="shared" si="4"/>
        <v>13.720862904851504</v>
      </c>
    </row>
    <row r="45" spans="1:7" x14ac:dyDescent="0.35">
      <c r="A45" s="11">
        <v>18963</v>
      </c>
      <c r="B45" s="6">
        <v>166</v>
      </c>
      <c r="C45" s="12">
        <f t="shared" si="2"/>
        <v>144.3587933654465</v>
      </c>
      <c r="D45" s="12">
        <f t="shared" si="3"/>
        <v>1.8088412</v>
      </c>
      <c r="E45" s="6">
        <f t="shared" si="5"/>
        <v>1.1276615999999999</v>
      </c>
      <c r="F45" s="12">
        <f t="shared" si="1"/>
        <v>164.82762866228668</v>
      </c>
      <c r="G45" s="12">
        <f t="shared" si="4"/>
        <v>1.3744545534917081</v>
      </c>
    </row>
    <row r="46" spans="1:7" x14ac:dyDescent="0.35">
      <c r="A46" s="11">
        <v>18994</v>
      </c>
      <c r="B46" s="6">
        <v>171</v>
      </c>
      <c r="C46" s="12">
        <f t="shared" si="2"/>
        <v>146.98150734579525</v>
      </c>
      <c r="D46" s="12">
        <f t="shared" si="3"/>
        <v>1.8088412</v>
      </c>
      <c r="E46" s="6">
        <f t="shared" si="5"/>
        <v>1.147035</v>
      </c>
      <c r="F46" s="12">
        <f t="shared" si="1"/>
        <v>170.66773744422625</v>
      </c>
      <c r="G46" s="12">
        <f t="shared" si="4"/>
        <v>0.11039840596930593</v>
      </c>
    </row>
    <row r="47" spans="1:7" x14ac:dyDescent="0.35">
      <c r="A47" s="11">
        <v>19025</v>
      </c>
      <c r="B47" s="6">
        <v>180</v>
      </c>
      <c r="C47" s="12">
        <f t="shared" si="2"/>
        <v>149.01711293519628</v>
      </c>
      <c r="D47" s="12">
        <f t="shared" si="3"/>
        <v>1.8088412</v>
      </c>
      <c r="E47" s="6">
        <f t="shared" si="5"/>
        <v>1.1133329999999999</v>
      </c>
      <c r="F47" s="12">
        <f t="shared" si="1"/>
        <v>167.91951199520045</v>
      </c>
      <c r="G47" s="12">
        <f t="shared" si="4"/>
        <v>145.93819043410576</v>
      </c>
    </row>
    <row r="48" spans="1:7" x14ac:dyDescent="0.35">
      <c r="A48" s="11">
        <v>19054</v>
      </c>
      <c r="B48" s="6">
        <v>193</v>
      </c>
      <c r="C48" s="12">
        <f t="shared" si="2"/>
        <v>159.32029177823716</v>
      </c>
      <c r="D48" s="12">
        <f t="shared" si="3"/>
        <v>1.8088412</v>
      </c>
      <c r="E48" s="6">
        <f t="shared" si="5"/>
        <v>1.2832307999999999</v>
      </c>
      <c r="F48" s="12">
        <f t="shared" si="1"/>
        <v>206.76586621496963</v>
      </c>
      <c r="G48" s="12">
        <f t="shared" si="4"/>
        <v>189.49907264844239</v>
      </c>
    </row>
    <row r="49" spans="1:7" x14ac:dyDescent="0.35">
      <c r="A49" s="11">
        <v>19085</v>
      </c>
      <c r="B49" s="6">
        <v>181</v>
      </c>
      <c r="C49" s="12">
        <f t="shared" si="2"/>
        <v>152.73126789798619</v>
      </c>
      <c r="D49" s="12">
        <f t="shared" si="3"/>
        <v>1.8088412</v>
      </c>
      <c r="E49" s="6">
        <f t="shared" si="5"/>
        <v>1.2409722000000001</v>
      </c>
      <c r="F49" s="12">
        <f t="shared" si="1"/>
        <v>191.77997917556795</v>
      </c>
      <c r="G49" s="12">
        <f t="shared" si="4"/>
        <v>116.20795102567855</v>
      </c>
    </row>
    <row r="50" spans="1:7" x14ac:dyDescent="0.35">
      <c r="A50" s="11">
        <v>19115</v>
      </c>
      <c r="B50" s="6">
        <v>183</v>
      </c>
      <c r="C50" s="12">
        <f t="shared" si="2"/>
        <v>147.73984166096392</v>
      </c>
      <c r="D50" s="12">
        <f t="shared" si="3"/>
        <v>1.8088412</v>
      </c>
      <c r="E50" s="6">
        <f t="shared" si="5"/>
        <v>1.2383476</v>
      </c>
      <c r="F50" s="12">
        <f t="shared" si="1"/>
        <v>185.1932525040358</v>
      </c>
      <c r="G50" s="12">
        <f t="shared" si="4"/>
        <v>4.8103565464592952</v>
      </c>
    </row>
    <row r="51" spans="1:7" x14ac:dyDescent="0.35">
      <c r="A51" s="11">
        <v>19146</v>
      </c>
      <c r="B51" s="6">
        <v>218</v>
      </c>
      <c r="C51" s="12">
        <f t="shared" si="2"/>
        <v>148.16219462022573</v>
      </c>
      <c r="D51" s="12">
        <f t="shared" si="3"/>
        <v>1.8088412</v>
      </c>
      <c r="E51" s="6">
        <f t="shared" si="5"/>
        <v>1.4130033</v>
      </c>
      <c r="F51" s="12">
        <f t="shared" si="1"/>
        <v>211.90956851839715</v>
      </c>
      <c r="G51" s="12">
        <f t="shared" si="4"/>
        <v>37.093355632099076</v>
      </c>
    </row>
    <row r="52" spans="1:7" x14ac:dyDescent="0.35">
      <c r="A52" s="11">
        <v>19176</v>
      </c>
      <c r="B52" s="6">
        <v>230</v>
      </c>
      <c r="C52" s="12">
        <f t="shared" si="2"/>
        <v>153.3452683579801</v>
      </c>
      <c r="D52" s="12">
        <f t="shared" si="3"/>
        <v>1.8088412</v>
      </c>
      <c r="E52" s="6">
        <f t="shared" si="5"/>
        <v>1.5573927000000001</v>
      </c>
      <c r="F52" s="12">
        <f t="shared" si="1"/>
        <v>241.63587760059843</v>
      </c>
      <c r="G52" s="12">
        <f t="shared" si="4"/>
        <v>135.39364753610838</v>
      </c>
    </row>
    <row r="53" spans="1:7" x14ac:dyDescent="0.35">
      <c r="A53" s="11">
        <v>19207</v>
      </c>
      <c r="B53" s="6">
        <v>242</v>
      </c>
      <c r="C53" s="12">
        <f t="shared" si="2"/>
        <v>149.30525081202029</v>
      </c>
      <c r="D53" s="12">
        <f t="shared" si="3"/>
        <v>1.8088412</v>
      </c>
      <c r="E53" s="6">
        <f t="shared" si="5"/>
        <v>1.5314877</v>
      </c>
      <c r="F53" s="12">
        <f t="shared" si="1"/>
        <v>231.4293732130773</v>
      </c>
      <c r="G53" s="12">
        <f t="shared" si="4"/>
        <v>111.73815066840777</v>
      </c>
    </row>
    <row r="54" spans="1:7" x14ac:dyDescent="0.35">
      <c r="A54" s="11">
        <v>19238</v>
      </c>
      <c r="B54" s="6">
        <v>209</v>
      </c>
      <c r="C54" s="12">
        <f t="shared" si="2"/>
        <v>156.5173704755791</v>
      </c>
      <c r="D54" s="12">
        <f t="shared" si="3"/>
        <v>1.8088412</v>
      </c>
      <c r="E54" s="6">
        <f t="shared" si="5"/>
        <v>1.3376906</v>
      </c>
      <c r="F54" s="12">
        <f t="shared" si="1"/>
        <v>211.79148509203239</v>
      </c>
      <c r="G54" s="12">
        <f t="shared" si="4"/>
        <v>7.7923890190390734</v>
      </c>
    </row>
    <row r="55" spans="1:7" x14ac:dyDescent="0.35">
      <c r="A55" s="11">
        <v>19268</v>
      </c>
      <c r="B55" s="6">
        <v>191</v>
      </c>
      <c r="C55" s="12">
        <f t="shared" si="2"/>
        <v>156.69259649302182</v>
      </c>
      <c r="D55" s="12">
        <f t="shared" si="3"/>
        <v>1.8088412</v>
      </c>
      <c r="E55" s="6">
        <f t="shared" si="5"/>
        <v>1.1563346999999999</v>
      </c>
      <c r="F55" s="12">
        <f t="shared" si="1"/>
        <v>183.28071240432905</v>
      </c>
      <c r="G55" s="12">
        <f t="shared" si="4"/>
        <v>59.587400984679377</v>
      </c>
    </row>
    <row r="56" spans="1:7" x14ac:dyDescent="0.35">
      <c r="A56" s="11">
        <v>19299</v>
      </c>
      <c r="B56" s="6">
        <v>172</v>
      </c>
      <c r="C56" s="12">
        <f t="shared" si="2"/>
        <v>163.72737008188773</v>
      </c>
      <c r="D56" s="12">
        <f t="shared" si="3"/>
        <v>1.8088412</v>
      </c>
      <c r="E56" s="6">
        <f t="shared" si="5"/>
        <v>1.0057966</v>
      </c>
      <c r="F56" s="12">
        <f t="shared" si="1"/>
        <v>166.49575848420432</v>
      </c>
      <c r="G56" s="12">
        <f t="shared" si="4"/>
        <v>30.296674664208769</v>
      </c>
    </row>
    <row r="57" spans="1:7" x14ac:dyDescent="0.35">
      <c r="A57" s="11">
        <v>19329</v>
      </c>
      <c r="B57" s="6">
        <v>194</v>
      </c>
      <c r="C57" s="12">
        <f t="shared" si="2"/>
        <v>169.82028999737514</v>
      </c>
      <c r="D57" s="12">
        <f t="shared" si="3"/>
        <v>1.8088412</v>
      </c>
      <c r="E57" s="6">
        <f t="shared" si="5"/>
        <v>1.1276615999999999</v>
      </c>
      <c r="F57" s="12">
        <f t="shared" si="1"/>
        <v>193.53958069264195</v>
      </c>
      <c r="G57" s="12">
        <f t="shared" si="4"/>
        <v>0.21198593858806819</v>
      </c>
    </row>
    <row r="58" spans="1:7" x14ac:dyDescent="0.35">
      <c r="A58" s="11">
        <v>19360</v>
      </c>
      <c r="B58" s="6">
        <v>196</v>
      </c>
      <c r="C58" s="12">
        <f t="shared" si="2"/>
        <v>171.94875922797559</v>
      </c>
      <c r="D58" s="12">
        <f t="shared" si="3"/>
        <v>1.8088412</v>
      </c>
      <c r="E58" s="6">
        <f t="shared" si="5"/>
        <v>1.147035</v>
      </c>
      <c r="F58" s="12">
        <f t="shared" si="1"/>
        <v>199.30604920690297</v>
      </c>
      <c r="G58" s="12">
        <f t="shared" si="4"/>
        <v>10.929961358463752</v>
      </c>
    </row>
    <row r="59" spans="1:7" x14ac:dyDescent="0.35">
      <c r="A59" s="11">
        <v>19391</v>
      </c>
      <c r="B59" s="6">
        <v>196</v>
      </c>
      <c r="C59" s="12">
        <f t="shared" si="2"/>
        <v>171.50126965369577</v>
      </c>
      <c r="D59" s="12">
        <f t="shared" si="3"/>
        <v>1.8088412</v>
      </c>
      <c r="E59" s="6">
        <f t="shared" si="5"/>
        <v>1.1133329999999999</v>
      </c>
      <c r="F59" s="12">
        <f t="shared" si="1"/>
        <v>192.95186564707765</v>
      </c>
      <c r="G59" s="12">
        <f t="shared" si="4"/>
        <v>9.2911230334653325</v>
      </c>
    </row>
    <row r="60" spans="1:7" x14ac:dyDescent="0.35">
      <c r="A60" s="11">
        <v>19419</v>
      </c>
      <c r="B60" s="6">
        <v>236</v>
      </c>
      <c r="C60" s="12">
        <f t="shared" si="2"/>
        <v>175.45339201624381</v>
      </c>
      <c r="D60" s="12">
        <f t="shared" si="3"/>
        <v>1.8088412</v>
      </c>
      <c r="E60" s="6">
        <f t="shared" si="5"/>
        <v>1.2832307999999999</v>
      </c>
      <c r="F60" s="12">
        <f t="shared" si="1"/>
        <v>227.46835733986708</v>
      </c>
      <c r="G60" s="12">
        <f t="shared" si="4"/>
        <v>72.788926480199876</v>
      </c>
    </row>
    <row r="61" spans="1:7" x14ac:dyDescent="0.35">
      <c r="A61" s="11">
        <v>19450</v>
      </c>
      <c r="B61" s="6">
        <v>235</v>
      </c>
      <c r="C61" s="12">
        <f t="shared" si="2"/>
        <v>182.46696082683155</v>
      </c>
      <c r="D61" s="12">
        <f t="shared" si="3"/>
        <v>1.8088412</v>
      </c>
      <c r="E61" s="6">
        <f t="shared" si="5"/>
        <v>1.2409722000000001</v>
      </c>
      <c r="F61" s="12">
        <f t="shared" si="1"/>
        <v>228.68114744800161</v>
      </c>
      <c r="G61" s="12">
        <f t="shared" si="4"/>
        <v>39.927897573896566</v>
      </c>
    </row>
    <row r="62" spans="1:7" x14ac:dyDescent="0.35">
      <c r="A62" s="11">
        <v>19480</v>
      </c>
      <c r="B62" s="6">
        <v>229</v>
      </c>
      <c r="C62" s="12">
        <f t="shared" si="2"/>
        <v>188.26188461093224</v>
      </c>
      <c r="D62" s="12">
        <f t="shared" si="3"/>
        <v>1.8088412</v>
      </c>
      <c r="E62" s="6">
        <f t="shared" si="5"/>
        <v>1.2383476</v>
      </c>
      <c r="F62" s="12">
        <f t="shared" si="1"/>
        <v>235.37362713822597</v>
      </c>
      <c r="G62" s="12">
        <f t="shared" si="4"/>
        <v>40.623122897130571</v>
      </c>
    </row>
    <row r="63" spans="1:7" x14ac:dyDescent="0.35">
      <c r="A63" s="11">
        <v>19511</v>
      </c>
      <c r="B63" s="6">
        <v>243</v>
      </c>
      <c r="C63" s="12">
        <f t="shared" si="2"/>
        <v>186.04156862919447</v>
      </c>
      <c r="D63" s="12">
        <f t="shared" si="3"/>
        <v>1.8088412</v>
      </c>
      <c r="E63" s="6">
        <f t="shared" si="5"/>
        <v>1.4130033</v>
      </c>
      <c r="F63" s="12">
        <f t="shared" si="1"/>
        <v>265.43324899500419</v>
      </c>
      <c r="G63" s="12">
        <f t="shared" si="4"/>
        <v>503.25066047185658</v>
      </c>
    </row>
    <row r="64" spans="1:7" x14ac:dyDescent="0.35">
      <c r="A64" s="11">
        <v>19541</v>
      </c>
      <c r="B64" s="6">
        <v>264</v>
      </c>
      <c r="C64" s="12">
        <f t="shared" si="2"/>
        <v>175.42189816870908</v>
      </c>
      <c r="D64" s="12">
        <f t="shared" si="3"/>
        <v>1.8088412</v>
      </c>
      <c r="E64" s="6">
        <f t="shared" si="5"/>
        <v>1.5573927000000001</v>
      </c>
      <c r="F64" s="12">
        <f t="shared" si="1"/>
        <v>276.01785970843014</v>
      </c>
      <c r="G64" s="12">
        <f t="shared" si="4"/>
        <v>144.4289519715085</v>
      </c>
    </row>
    <row r="65" spans="1:7" x14ac:dyDescent="0.35">
      <c r="A65" s="11">
        <v>19572</v>
      </c>
      <c r="B65" s="6">
        <v>272</v>
      </c>
      <c r="C65" s="12">
        <f t="shared" si="2"/>
        <v>171.18987453013821</v>
      </c>
      <c r="D65" s="12">
        <f t="shared" si="3"/>
        <v>1.8088412</v>
      </c>
      <c r="E65" s="6">
        <f t="shared" si="5"/>
        <v>1.5314877</v>
      </c>
      <c r="F65" s="12">
        <f t="shared" si="1"/>
        <v>264.94540525650319</v>
      </c>
      <c r="G65" s="12">
        <f t="shared" si="4"/>
        <v>49.767306994972778</v>
      </c>
    </row>
    <row r="66" spans="1:7" x14ac:dyDescent="0.35">
      <c r="A66" s="11">
        <v>19603</v>
      </c>
      <c r="B66" s="6">
        <v>237</v>
      </c>
      <c r="C66" s="12">
        <f t="shared" si="2"/>
        <v>176.60474029377417</v>
      </c>
      <c r="D66" s="12">
        <f t="shared" si="3"/>
        <v>1.8088412</v>
      </c>
      <c r="E66" s="6">
        <f t="shared" si="5"/>
        <v>1.3376906</v>
      </c>
      <c r="F66" s="12">
        <f t="shared" si="1"/>
        <v>238.66217087655565</v>
      </c>
      <c r="G66" s="12">
        <f t="shared" si="4"/>
        <v>2.7628120228697748</v>
      </c>
    </row>
    <row r="67" spans="1:7" x14ac:dyDescent="0.35">
      <c r="A67" s="11">
        <v>19633</v>
      </c>
      <c r="B67" s="6">
        <v>211</v>
      </c>
      <c r="C67" s="12">
        <f t="shared" si="2"/>
        <v>177.44085640643763</v>
      </c>
      <c r="D67" s="12">
        <f t="shared" si="3"/>
        <v>1.8088412</v>
      </c>
      <c r="E67" s="6">
        <f t="shared" si="5"/>
        <v>1.1563346999999999</v>
      </c>
      <c r="F67" s="12">
        <f t="shared" si="1"/>
        <v>207.27264530683075</v>
      </c>
      <c r="G67" s="12">
        <f t="shared" si="4"/>
        <v>13.893173008690807</v>
      </c>
    </row>
    <row r="68" spans="1:7" x14ac:dyDescent="0.35">
      <c r="A68" s="11">
        <v>19664</v>
      </c>
      <c r="B68" s="6">
        <v>180</v>
      </c>
      <c r="C68" s="12">
        <f t="shared" si="2"/>
        <v>181.77310451081937</v>
      </c>
      <c r="D68" s="12">
        <f t="shared" si="3"/>
        <v>1.8088412</v>
      </c>
      <c r="E68" s="6">
        <f t="shared" si="5"/>
        <v>1.0057966</v>
      </c>
      <c r="F68" s="12">
        <f t="shared" si="1"/>
        <v>184.64609681732671</v>
      </c>
      <c r="G68" s="12">
        <f t="shared" si="4"/>
        <v>21.586215635973364</v>
      </c>
    </row>
    <row r="69" spans="1:7" x14ac:dyDescent="0.35">
      <c r="A69" s="11">
        <v>19694</v>
      </c>
      <c r="B69" s="6">
        <v>201</v>
      </c>
      <c r="C69" s="12">
        <f t="shared" si="2"/>
        <v>179.96578089899498</v>
      </c>
      <c r="D69" s="12">
        <f t="shared" si="3"/>
        <v>1.8088412</v>
      </c>
      <c r="E69" s="6">
        <f t="shared" si="5"/>
        <v>1.1276615999999999</v>
      </c>
      <c r="F69" s="12">
        <f t="shared" si="1"/>
        <v>204.98026119554802</v>
      </c>
      <c r="G69" s="12">
        <f t="shared" si="4"/>
        <v>15.84247918478539</v>
      </c>
    </row>
    <row r="70" spans="1:7" x14ac:dyDescent="0.35">
      <c r="A70" s="11">
        <v>19725</v>
      </c>
      <c r="B70" s="6">
        <v>204</v>
      </c>
      <c r="C70" s="12">
        <f t="shared" si="2"/>
        <v>179.01148200717611</v>
      </c>
      <c r="D70" s="12">
        <f t="shared" si="3"/>
        <v>1.8088412</v>
      </c>
      <c r="E70" s="6">
        <f t="shared" si="5"/>
        <v>1.147035</v>
      </c>
      <c r="F70" s="12">
        <f t="shared" si="1"/>
        <v>207.40723942994325</v>
      </c>
      <c r="G70" s="12">
        <f t="shared" si="4"/>
        <v>11.609280532959977</v>
      </c>
    </row>
    <row r="71" spans="1:7" x14ac:dyDescent="0.35">
      <c r="A71" s="11">
        <v>19756</v>
      </c>
      <c r="B71" s="6">
        <v>188</v>
      </c>
      <c r="C71" s="12">
        <f t="shared" si="2"/>
        <v>178.49493156900311</v>
      </c>
      <c r="D71" s="12">
        <f t="shared" si="3"/>
        <v>1.8088412</v>
      </c>
      <c r="E71" s="6">
        <f t="shared" si="5"/>
        <v>1.1133329999999999</v>
      </c>
      <c r="F71" s="12">
        <f t="shared" si="1"/>
        <v>200.73814024823253</v>
      </c>
      <c r="G71" s="12">
        <f t="shared" si="4"/>
        <v>162.26021698364139</v>
      </c>
    </row>
    <row r="72" spans="1:7" x14ac:dyDescent="0.35">
      <c r="A72" s="11">
        <v>19784</v>
      </c>
      <c r="B72" s="6">
        <v>235</v>
      </c>
      <c r="C72" s="12">
        <f t="shared" si="2"/>
        <v>171.34701008111273</v>
      </c>
      <c r="D72" s="12">
        <f t="shared" si="3"/>
        <v>1.8088412</v>
      </c>
      <c r="E72" s="6">
        <f t="shared" si="5"/>
        <v>1.2832307999999999</v>
      </c>
      <c r="F72" s="12">
        <f t="shared" si="1"/>
        <v>222.19892156414329</v>
      </c>
      <c r="G72" s="12">
        <f t="shared" si="4"/>
        <v>163.86760912095565</v>
      </c>
    </row>
    <row r="73" spans="1:7" x14ac:dyDescent="0.35">
      <c r="A73" s="11">
        <v>19815</v>
      </c>
      <c r="B73" s="6">
        <v>227</v>
      </c>
      <c r="C73" s="12">
        <f t="shared" si="2"/>
        <v>180.96514768914642</v>
      </c>
      <c r="D73" s="12">
        <f t="shared" si="3"/>
        <v>1.8088412</v>
      </c>
      <c r="E73" s="6">
        <f t="shared" si="5"/>
        <v>1.2409722000000001</v>
      </c>
      <c r="F73" s="12">
        <f t="shared" si="1"/>
        <v>226.81743909453959</v>
      </c>
      <c r="G73" s="12">
        <f t="shared" si="4"/>
        <v>3.3328484202523233E-2</v>
      </c>
    </row>
    <row r="74" spans="1:7" x14ac:dyDescent="0.35">
      <c r="A74" s="11">
        <v>19845</v>
      </c>
      <c r="B74" s="6">
        <v>234</v>
      </c>
      <c r="C74" s="12">
        <f t="shared" si="2"/>
        <v>182.88915265342246</v>
      </c>
      <c r="D74" s="12">
        <f t="shared" si="3"/>
        <v>1.8088412</v>
      </c>
      <c r="E74" s="6">
        <f t="shared" si="5"/>
        <v>1.2383476</v>
      </c>
      <c r="F74" s="12">
        <f t="shared" si="1"/>
        <v>228.72031741320043</v>
      </c>
      <c r="G74" s="12">
        <f t="shared" si="4"/>
        <v>27.875048217354561</v>
      </c>
    </row>
    <row r="75" spans="1:7" x14ac:dyDescent="0.35">
      <c r="A75" s="11">
        <v>19876</v>
      </c>
      <c r="B75" s="6">
        <v>264</v>
      </c>
      <c r="C75" s="12">
        <f t="shared" si="2"/>
        <v>188.03560218076183</v>
      </c>
      <c r="D75" s="12">
        <f t="shared" si="3"/>
        <v>1.8088412</v>
      </c>
      <c r="E75" s="6">
        <f t="shared" si="5"/>
        <v>1.4130033</v>
      </c>
      <c r="F75" s="12">
        <f t="shared" ref="F75:F138" si="6">(C75+D75)*E75</f>
        <v>268.25082498367959</v>
      </c>
      <c r="G75" s="12">
        <f t="shared" si="4"/>
        <v>18.069513041874607</v>
      </c>
    </row>
    <row r="76" spans="1:7" x14ac:dyDescent="0.35">
      <c r="A76" s="11">
        <v>19906</v>
      </c>
      <c r="B76" s="6">
        <v>302</v>
      </c>
      <c r="C76" s="12">
        <f t="shared" ref="C76:C117" si="7">(B75/E75)*$E$2+(C75+D75)*(1-$E$2)</f>
        <v>187.48939316542697</v>
      </c>
      <c r="D76" s="12">
        <f t="shared" ref="D76:D117" si="8">(C76-C75)*$E$3+D75*(1-$E$3)</f>
        <v>1.8088412</v>
      </c>
      <c r="E76" s="6">
        <f t="shared" si="5"/>
        <v>1.5573927000000001</v>
      </c>
      <c r="F76" s="12">
        <f t="shared" si="6"/>
        <v>294.8116883236051</v>
      </c>
      <c r="G76" s="12">
        <f t="shared" ref="G76:G117" si="9">(F76-B76)^2</f>
        <v>51.671824756995306</v>
      </c>
    </row>
    <row r="77" spans="1:7" x14ac:dyDescent="0.35">
      <c r="A77" s="11">
        <v>19937</v>
      </c>
      <c r="B77" s="6">
        <v>293</v>
      </c>
      <c r="C77" s="12">
        <f t="shared" si="7"/>
        <v>192.91149165983205</v>
      </c>
      <c r="D77" s="12">
        <f t="shared" si="8"/>
        <v>1.8088412</v>
      </c>
      <c r="E77" s="6">
        <f t="shared" si="5"/>
        <v>1.5314877</v>
      </c>
      <c r="F77" s="12">
        <f t="shared" si="6"/>
        <v>298.21179471473857</v>
      </c>
      <c r="G77" s="12">
        <f t="shared" si="9"/>
        <v>27.162804148576928</v>
      </c>
    </row>
    <row r="78" spans="1:7" x14ac:dyDescent="0.35">
      <c r="A78" s="11">
        <v>19968</v>
      </c>
      <c r="B78" s="6">
        <v>259</v>
      </c>
      <c r="C78" s="12">
        <f t="shared" si="7"/>
        <v>192.05627341413526</v>
      </c>
      <c r="D78" s="12">
        <f t="shared" si="8"/>
        <v>1.8088412</v>
      </c>
      <c r="E78" s="6">
        <f t="shared" si="5"/>
        <v>1.3376906</v>
      </c>
      <c r="F78" s="12">
        <f t="shared" si="6"/>
        <v>259.33154148725134</v>
      </c>
      <c r="G78" s="12">
        <f t="shared" si="9"/>
        <v>0.10991975776883238</v>
      </c>
    </row>
    <row r="79" spans="1:7" x14ac:dyDescent="0.35">
      <c r="A79" s="11">
        <v>19998</v>
      </c>
      <c r="B79" s="6">
        <v>229</v>
      </c>
      <c r="C79" s="12">
        <f t="shared" si="7"/>
        <v>193.67109200990666</v>
      </c>
      <c r="D79" s="12">
        <f t="shared" si="8"/>
        <v>1.8088412</v>
      </c>
      <c r="E79" s="6">
        <f t="shared" si="5"/>
        <v>1.1563346999999999</v>
      </c>
      <c r="F79" s="12">
        <f t="shared" si="6"/>
        <v>226.04022992429742</v>
      </c>
      <c r="G79" s="12">
        <f t="shared" si="9"/>
        <v>8.7602389010244508</v>
      </c>
    </row>
    <row r="80" spans="1:7" x14ac:dyDescent="0.35">
      <c r="A80" s="11">
        <v>20029</v>
      </c>
      <c r="B80" s="6">
        <v>203</v>
      </c>
      <c r="C80" s="12">
        <f t="shared" si="7"/>
        <v>197.4836878453583</v>
      </c>
      <c r="D80" s="12">
        <f t="shared" si="8"/>
        <v>1.8088412</v>
      </c>
      <c r="E80" s="6">
        <f t="shared" si="5"/>
        <v>1.0057966</v>
      </c>
      <c r="F80" s="12">
        <f t="shared" si="6"/>
        <v>200.44774811922264</v>
      </c>
      <c r="G80" s="12">
        <f t="shared" si="9"/>
        <v>6.513989662931583</v>
      </c>
    </row>
    <row r="81" spans="1:7" x14ac:dyDescent="0.35">
      <c r="A81" s="11">
        <v>20059</v>
      </c>
      <c r="B81" s="6">
        <v>229</v>
      </c>
      <c r="C81" s="12">
        <f t="shared" si="7"/>
        <v>201.27900582469715</v>
      </c>
      <c r="D81" s="12">
        <f t="shared" si="8"/>
        <v>1.8088412</v>
      </c>
      <c r="E81" s="6">
        <f t="shared" si="5"/>
        <v>1.1276615999999999</v>
      </c>
      <c r="F81" s="12">
        <f t="shared" si="6"/>
        <v>229.01436651642521</v>
      </c>
      <c r="G81" s="12">
        <f t="shared" si="9"/>
        <v>2.0639679419590614E-4</v>
      </c>
    </row>
    <row r="82" spans="1:7" x14ac:dyDescent="0.35">
      <c r="A82" s="11">
        <v>20090</v>
      </c>
      <c r="B82" s="6">
        <v>242</v>
      </c>
      <c r="C82" s="12">
        <f t="shared" si="7"/>
        <v>203.07787363461946</v>
      </c>
      <c r="D82" s="12">
        <f t="shared" si="8"/>
        <v>1.8088412</v>
      </c>
      <c r="E82" s="6">
        <f t="shared" si="5"/>
        <v>1.147035</v>
      </c>
      <c r="F82" s="12">
        <f t="shared" si="6"/>
        <v>235.01223295032773</v>
      </c>
      <c r="G82" s="12">
        <f t="shared" si="9"/>
        <v>48.82888834048552</v>
      </c>
    </row>
    <row r="83" spans="1:7" x14ac:dyDescent="0.35">
      <c r="A83" s="11">
        <v>20121</v>
      </c>
      <c r="B83" s="6">
        <v>233</v>
      </c>
      <c r="C83" s="12">
        <f t="shared" si="7"/>
        <v>209.65576479453941</v>
      </c>
      <c r="D83" s="12">
        <f t="shared" si="8"/>
        <v>1.8088412</v>
      </c>
      <c r="E83" s="6">
        <f t="shared" si="5"/>
        <v>1.1133329999999999</v>
      </c>
      <c r="F83" s="12">
        <f t="shared" si="6"/>
        <v>235.4305241857185</v>
      </c>
      <c r="G83" s="12">
        <f t="shared" si="9"/>
        <v>5.9074478173625611</v>
      </c>
    </row>
    <row r="84" spans="1:7" x14ac:dyDescent="0.35">
      <c r="A84" s="11">
        <v>20149</v>
      </c>
      <c r="B84" s="6">
        <v>267</v>
      </c>
      <c r="C84" s="12">
        <f t="shared" si="7"/>
        <v>209.75559448152208</v>
      </c>
      <c r="D84" s="12">
        <f t="shared" si="8"/>
        <v>1.8088412</v>
      </c>
      <c r="E84" s="6">
        <f t="shared" si="5"/>
        <v>1.2832307999999999</v>
      </c>
      <c r="F84" s="12">
        <f t="shared" si="6"/>
        <v>271.4860000511481</v>
      </c>
      <c r="G84" s="12">
        <f t="shared" si="9"/>
        <v>20.124196458900723</v>
      </c>
    </row>
    <row r="85" spans="1:7" x14ac:dyDescent="0.35">
      <c r="A85" s="11">
        <v>20180</v>
      </c>
      <c r="B85" s="6">
        <v>269</v>
      </c>
      <c r="C85" s="12">
        <f t="shared" si="7"/>
        <v>208.82775187309065</v>
      </c>
      <c r="D85" s="12">
        <f t="shared" si="8"/>
        <v>1.8088412</v>
      </c>
      <c r="E85" s="6">
        <f t="shared" si="5"/>
        <v>1.2409722000000001</v>
      </c>
      <c r="F85" s="12">
        <f t="shared" si="6"/>
        <v>261.39415630641804</v>
      </c>
      <c r="G85" s="12">
        <f t="shared" si="9"/>
        <v>57.848858291200472</v>
      </c>
    </row>
    <row r="86" spans="1:7" x14ac:dyDescent="0.35">
      <c r="A86" s="11">
        <v>20210</v>
      </c>
      <c r="B86" s="6">
        <v>270</v>
      </c>
      <c r="C86" s="12">
        <f t="shared" si="7"/>
        <v>215.43454030083393</v>
      </c>
      <c r="D86" s="12">
        <f t="shared" si="8"/>
        <v>1.8088412</v>
      </c>
      <c r="E86" s="6">
        <f t="shared" si="5"/>
        <v>1.2383476</v>
      </c>
      <c r="F86" s="12">
        <f t="shared" si="6"/>
        <v>269.02282009744209</v>
      </c>
      <c r="G86" s="12">
        <f t="shared" si="9"/>
        <v>0.9548805619630808</v>
      </c>
    </row>
    <row r="87" spans="1:7" x14ac:dyDescent="0.35">
      <c r="A87" s="11">
        <v>20241</v>
      </c>
      <c r="B87" s="6">
        <v>315</v>
      </c>
      <c r="C87" s="12">
        <f t="shared" si="7"/>
        <v>217.86111632228707</v>
      </c>
      <c r="D87" s="12">
        <f t="shared" si="8"/>
        <v>1.8088412</v>
      </c>
      <c r="E87" s="6">
        <f t="shared" ref="E87:E117" si="10">$E$4*(B75/(C75+D75))+(1-$E$4)*E75</f>
        <v>1.4130033</v>
      </c>
      <c r="F87" s="12">
        <f t="shared" si="6"/>
        <v>310.39437488985146</v>
      </c>
      <c r="G87" s="12">
        <f t="shared" si="9"/>
        <v>21.211782655230724</v>
      </c>
    </row>
    <row r="88" spans="1:7" x14ac:dyDescent="0.35">
      <c r="A88" s="11">
        <v>20271</v>
      </c>
      <c r="B88" s="6">
        <v>364</v>
      </c>
      <c r="C88" s="12">
        <f t="shared" si="7"/>
        <v>222.22157478459502</v>
      </c>
      <c r="D88" s="12">
        <f t="shared" si="8"/>
        <v>1.8088412</v>
      </c>
      <c r="E88" s="6">
        <f t="shared" si="10"/>
        <v>1.5573927000000001</v>
      </c>
      <c r="F88" s="12">
        <f t="shared" si="6"/>
        <v>348.90333443237159</v>
      </c>
      <c r="G88" s="12">
        <f t="shared" si="9"/>
        <v>227.90931126081711</v>
      </c>
    </row>
    <row r="89" spans="1:7" x14ac:dyDescent="0.35">
      <c r="A89" s="11">
        <v>20302</v>
      </c>
      <c r="B89" s="6">
        <v>347</v>
      </c>
      <c r="C89" s="12">
        <f t="shared" si="7"/>
        <v>231.61886504455356</v>
      </c>
      <c r="D89" s="12">
        <f t="shared" si="8"/>
        <v>1.8088412</v>
      </c>
      <c r="E89" s="6">
        <f t="shared" si="10"/>
        <v>1.5314877</v>
      </c>
      <c r="F89" s="12">
        <f t="shared" si="6"/>
        <v>357.49166095274694</v>
      </c>
      <c r="G89" s="12">
        <f t="shared" si="9"/>
        <v>110.07494954739484</v>
      </c>
    </row>
    <row r="90" spans="1:7" x14ac:dyDescent="0.35">
      <c r="A90" s="11">
        <v>20333</v>
      </c>
      <c r="B90" s="6">
        <v>312</v>
      </c>
      <c r="C90" s="12">
        <f t="shared" si="7"/>
        <v>228.06479193344842</v>
      </c>
      <c r="D90" s="12">
        <f t="shared" si="8"/>
        <v>1.8088412</v>
      </c>
      <c r="E90" s="6">
        <f t="shared" si="10"/>
        <v>1.3376906</v>
      </c>
      <c r="F90" s="12">
        <f t="shared" si="6"/>
        <v>307.49979823046249</v>
      </c>
      <c r="G90" s="12">
        <f t="shared" si="9"/>
        <v>20.251815966548552</v>
      </c>
    </row>
    <row r="91" spans="1:7" x14ac:dyDescent="0.35">
      <c r="A91" s="11">
        <v>20363</v>
      </c>
      <c r="B91" s="6">
        <v>274</v>
      </c>
      <c r="C91" s="12">
        <f t="shared" si="7"/>
        <v>232.5072126414569</v>
      </c>
      <c r="D91" s="12">
        <f t="shared" si="8"/>
        <v>1.8088412</v>
      </c>
      <c r="E91" s="6">
        <f t="shared" si="10"/>
        <v>1.1563346999999999</v>
      </c>
      <c r="F91" s="12">
        <f t="shared" si="6"/>
        <v>270.94778382394486</v>
      </c>
      <c r="G91" s="12">
        <f t="shared" si="9"/>
        <v>9.3160235853726601</v>
      </c>
    </row>
    <row r="92" spans="1:7" x14ac:dyDescent="0.35">
      <c r="A92" s="11">
        <v>20394</v>
      </c>
      <c r="B92" s="6">
        <v>237</v>
      </c>
      <c r="C92" s="12">
        <f t="shared" si="7"/>
        <v>236.38239418369417</v>
      </c>
      <c r="D92" s="12">
        <f t="shared" si="8"/>
        <v>1.8088412</v>
      </c>
      <c r="E92" s="6">
        <f t="shared" si="10"/>
        <v>1.0057966</v>
      </c>
      <c r="F92" s="12">
        <f t="shared" si="6"/>
        <v>239.5719346987193</v>
      </c>
      <c r="G92" s="12">
        <f t="shared" si="9"/>
        <v>6.6148480944763541</v>
      </c>
    </row>
    <row r="93" spans="1:7" x14ac:dyDescent="0.35">
      <c r="A93" s="11">
        <v>20424</v>
      </c>
      <c r="B93" s="6">
        <v>278</v>
      </c>
      <c r="C93" s="12">
        <f t="shared" si="7"/>
        <v>236.18943901106277</v>
      </c>
      <c r="D93" s="12">
        <f t="shared" si="8"/>
        <v>1.8088412</v>
      </c>
      <c r="E93" s="6">
        <f t="shared" si="10"/>
        <v>1.1276615999999999</v>
      </c>
      <c r="F93" s="12">
        <f t="shared" si="6"/>
        <v>268.38152146005535</v>
      </c>
      <c r="G93" s="12">
        <f t="shared" si="9"/>
        <v>92.515129423375711</v>
      </c>
    </row>
    <row r="94" spans="1:7" x14ac:dyDescent="0.35">
      <c r="A94" s="11">
        <v>20455</v>
      </c>
      <c r="B94" s="6">
        <v>284</v>
      </c>
      <c r="C94" s="12">
        <f t="shared" si="7"/>
        <v>244.6755313687876</v>
      </c>
      <c r="D94" s="12">
        <f t="shared" si="8"/>
        <v>1.8088412</v>
      </c>
      <c r="E94" s="6">
        <f t="shared" si="10"/>
        <v>1.147035</v>
      </c>
      <c r="F94" s="12">
        <f t="shared" si="6"/>
        <v>282.7262022894393</v>
      </c>
      <c r="G94" s="12">
        <f t="shared" si="9"/>
        <v>1.6225606074296812</v>
      </c>
    </row>
    <row r="95" spans="1:7" x14ac:dyDescent="0.35">
      <c r="A95" s="11">
        <v>20486</v>
      </c>
      <c r="B95" s="6">
        <v>277</v>
      </c>
      <c r="C95" s="12">
        <f t="shared" si="7"/>
        <v>247.35372108560466</v>
      </c>
      <c r="D95" s="12">
        <f t="shared" si="8"/>
        <v>1.8088412</v>
      </c>
      <c r="E95" s="6">
        <f t="shared" si="10"/>
        <v>1.1133329999999999</v>
      </c>
      <c r="F95" s="12">
        <f t="shared" si="6"/>
        <v>277.40090295711906</v>
      </c>
      <c r="G95" s="12">
        <f t="shared" si="9"/>
        <v>0.16072318102680533</v>
      </c>
    </row>
    <row r="96" spans="1:7" x14ac:dyDescent="0.35">
      <c r="A96" s="11">
        <v>20515</v>
      </c>
      <c r="B96" s="6">
        <v>317</v>
      </c>
      <c r="C96" s="12">
        <f t="shared" si="7"/>
        <v>248.88066927941901</v>
      </c>
      <c r="D96" s="12">
        <f t="shared" si="8"/>
        <v>1.8088412</v>
      </c>
      <c r="E96" s="6">
        <f t="shared" si="10"/>
        <v>1.2832307999999999</v>
      </c>
      <c r="F96" s="12">
        <f t="shared" si="6"/>
        <v>321.69250108411319</v>
      </c>
      <c r="G96" s="12">
        <f t="shared" si="9"/>
        <v>22.019566424403457</v>
      </c>
    </row>
    <row r="97" spans="1:7" x14ac:dyDescent="0.35">
      <c r="A97" s="11">
        <v>20546</v>
      </c>
      <c r="B97" s="6">
        <v>313</v>
      </c>
      <c r="C97" s="12">
        <f t="shared" si="7"/>
        <v>247.8268507398916</v>
      </c>
      <c r="D97" s="12">
        <f t="shared" si="8"/>
        <v>1.8088412</v>
      </c>
      <c r="E97" s="6">
        <f t="shared" si="10"/>
        <v>1.2409722000000001</v>
      </c>
      <c r="F97" s="12">
        <f t="shared" si="6"/>
        <v>309.79095382516954</v>
      </c>
      <c r="G97" s="12">
        <f t="shared" si="9"/>
        <v>10.297977352194019</v>
      </c>
    </row>
    <row r="98" spans="1:7" x14ac:dyDescent="0.35">
      <c r="A98" s="11">
        <v>20576</v>
      </c>
      <c r="B98" s="6">
        <v>318</v>
      </c>
      <c r="C98" s="12">
        <f t="shared" si="7"/>
        <v>251.66003464512232</v>
      </c>
      <c r="D98" s="12">
        <f t="shared" si="8"/>
        <v>1.8088412</v>
      </c>
      <c r="E98" s="6">
        <f t="shared" si="10"/>
        <v>1.2383476</v>
      </c>
      <c r="F98" s="12">
        <f t="shared" si="6"/>
        <v>313.88257407750518</v>
      </c>
      <c r="G98" s="12">
        <f t="shared" si="9"/>
        <v>16.953196227232297</v>
      </c>
    </row>
    <row r="99" spans="1:7" x14ac:dyDescent="0.35">
      <c r="A99" s="11">
        <v>20607</v>
      </c>
      <c r="B99" s="6">
        <v>374</v>
      </c>
      <c r="C99" s="12">
        <f t="shared" si="7"/>
        <v>256.07175107866016</v>
      </c>
      <c r="D99" s="12">
        <f t="shared" si="8"/>
        <v>1.8088412</v>
      </c>
      <c r="E99" s="6">
        <f t="shared" si="10"/>
        <v>1.4130033</v>
      </c>
      <c r="F99" s="12">
        <f t="shared" si="6"/>
        <v>364.38612789570135</v>
      </c>
      <c r="G99" s="12">
        <f t="shared" si="9"/>
        <v>92.426536837811753</v>
      </c>
    </row>
    <row r="100" spans="1:7" x14ac:dyDescent="0.35">
      <c r="A100" s="11">
        <v>20637</v>
      </c>
      <c r="B100" s="6">
        <v>413</v>
      </c>
      <c r="C100" s="12">
        <f t="shared" si="7"/>
        <v>263.2068881521335</v>
      </c>
      <c r="D100" s="12">
        <f t="shared" si="8"/>
        <v>1.8088412</v>
      </c>
      <c r="E100" s="6">
        <f t="shared" si="10"/>
        <v>1.5573927000000001</v>
      </c>
      <c r="F100" s="12">
        <f t="shared" si="6"/>
        <v>412.73356227818851</v>
      </c>
      <c r="G100" s="12">
        <f t="shared" si="9"/>
        <v>7.0989059604094309E-2</v>
      </c>
    </row>
    <row r="101" spans="1:7" x14ac:dyDescent="0.35">
      <c r="A101" s="11">
        <v>20668</v>
      </c>
      <c r="B101" s="6">
        <v>405</v>
      </c>
      <c r="C101" s="12">
        <f t="shared" si="7"/>
        <v>265.14965621635133</v>
      </c>
      <c r="D101" s="12">
        <f t="shared" si="8"/>
        <v>1.8088412</v>
      </c>
      <c r="E101" s="6">
        <f t="shared" si="10"/>
        <v>1.5314877</v>
      </c>
      <c r="F101" s="12">
        <f t="shared" si="6"/>
        <v>408.84365520362388</v>
      </c>
      <c r="G101" s="12">
        <f t="shared" si="9"/>
        <v>14.773685324344948</v>
      </c>
    </row>
    <row r="102" spans="1:7" x14ac:dyDescent="0.35">
      <c r="A102" s="11">
        <v>20699</v>
      </c>
      <c r="B102" s="6">
        <v>355</v>
      </c>
      <c r="C102" s="12">
        <f t="shared" si="7"/>
        <v>264.99377575871227</v>
      </c>
      <c r="D102" s="12">
        <f t="shared" si="8"/>
        <v>1.8088412</v>
      </c>
      <c r="E102" s="6">
        <f t="shared" si="10"/>
        <v>1.3376906</v>
      </c>
      <c r="F102" s="12">
        <f t="shared" si="6"/>
        <v>356.89935276107002</v>
      </c>
      <c r="G102" s="12">
        <f t="shared" si="9"/>
        <v>3.6075409109843077</v>
      </c>
    </row>
    <row r="103" spans="1:7" x14ac:dyDescent="0.35">
      <c r="A103" s="11">
        <v>20729</v>
      </c>
      <c r="B103" s="6">
        <v>306</v>
      </c>
      <c r="C103" s="12">
        <f t="shared" si="7"/>
        <v>265.69108979477642</v>
      </c>
      <c r="D103" s="12">
        <f t="shared" si="8"/>
        <v>1.8088412</v>
      </c>
      <c r="E103" s="6">
        <f t="shared" si="10"/>
        <v>1.1563346999999999</v>
      </c>
      <c r="F103" s="12">
        <f t="shared" si="6"/>
        <v>309.31945245686552</v>
      </c>
      <c r="G103" s="12">
        <f t="shared" si="9"/>
        <v>11.018764613390536</v>
      </c>
    </row>
    <row r="104" spans="1:7" x14ac:dyDescent="0.35">
      <c r="A104" s="11">
        <v>20760</v>
      </c>
      <c r="B104" s="6">
        <v>271</v>
      </c>
      <c r="C104" s="12">
        <f t="shared" si="7"/>
        <v>265.25267256676261</v>
      </c>
      <c r="D104" s="12">
        <f t="shared" si="8"/>
        <v>1.8088412</v>
      </c>
      <c r="E104" s="6">
        <f t="shared" si="10"/>
        <v>1.0057966</v>
      </c>
      <c r="F104" s="12">
        <f t="shared" si="6"/>
        <v>268.60956253746303</v>
      </c>
      <c r="G104" s="12">
        <f t="shared" si="9"/>
        <v>5.7141912623001669</v>
      </c>
    </row>
    <row r="105" spans="1:7" x14ac:dyDescent="0.35">
      <c r="A105" s="11">
        <v>20790</v>
      </c>
      <c r="B105" s="6">
        <v>306</v>
      </c>
      <c r="C105" s="12">
        <f t="shared" si="7"/>
        <v>268.92204663483716</v>
      </c>
      <c r="D105" s="12">
        <f t="shared" si="8"/>
        <v>1.8088412</v>
      </c>
      <c r="E105" s="6">
        <f t="shared" si="10"/>
        <v>1.1276615999999999</v>
      </c>
      <c r="F105" s="12">
        <f t="shared" si="6"/>
        <v>305.292826145253</v>
      </c>
      <c r="G105" s="12">
        <f t="shared" si="9"/>
        <v>0.50009486083772781</v>
      </c>
    </row>
    <row r="106" spans="1:7" x14ac:dyDescent="0.35">
      <c r="A106" s="11">
        <v>20821</v>
      </c>
      <c r="B106" s="6">
        <v>315</v>
      </c>
      <c r="C106" s="12">
        <f t="shared" si="7"/>
        <v>271.22181552373434</v>
      </c>
      <c r="D106" s="12">
        <f t="shared" si="8"/>
        <v>1.8088412</v>
      </c>
      <c r="E106" s="6">
        <f t="shared" si="10"/>
        <v>1.147035</v>
      </c>
      <c r="F106" s="12">
        <f t="shared" si="6"/>
        <v>313.17571933510862</v>
      </c>
      <c r="G106" s="12">
        <f t="shared" si="9"/>
        <v>3.3279999442965194</v>
      </c>
    </row>
    <row r="107" spans="1:7" x14ac:dyDescent="0.35">
      <c r="A107" s="11">
        <v>20852</v>
      </c>
      <c r="B107" s="6">
        <v>301</v>
      </c>
      <c r="C107" s="12">
        <f t="shared" si="7"/>
        <v>274.27570189623918</v>
      </c>
      <c r="D107" s="12">
        <f t="shared" si="8"/>
        <v>1.8088412</v>
      </c>
      <c r="E107" s="6">
        <f t="shared" si="10"/>
        <v>1.1133329999999999</v>
      </c>
      <c r="F107" s="12">
        <f t="shared" si="6"/>
        <v>307.37403261896526</v>
      </c>
      <c r="G107" s="12">
        <f t="shared" si="9"/>
        <v>40.62829182763312</v>
      </c>
    </row>
    <row r="108" spans="1:7" x14ac:dyDescent="0.35">
      <c r="A108" s="11">
        <v>20880</v>
      </c>
      <c r="B108" s="6">
        <v>356</v>
      </c>
      <c r="C108" s="12">
        <f t="shared" si="7"/>
        <v>271.60267239766011</v>
      </c>
      <c r="D108" s="12">
        <f t="shared" si="8"/>
        <v>1.8088412</v>
      </c>
      <c r="E108" s="6">
        <f t="shared" si="10"/>
        <v>1.2832307999999999</v>
      </c>
      <c r="F108" s="12">
        <f t="shared" si="6"/>
        <v>350.85007532313625</v>
      </c>
      <c r="G108" s="12">
        <f t="shared" si="9"/>
        <v>26.521724177370174</v>
      </c>
    </row>
    <row r="109" spans="1:7" x14ac:dyDescent="0.35">
      <c r="A109" s="11">
        <v>20911</v>
      </c>
      <c r="B109" s="6">
        <v>348</v>
      </c>
      <c r="C109" s="12">
        <f t="shared" si="7"/>
        <v>276.55322454663963</v>
      </c>
      <c r="D109" s="12">
        <f t="shared" si="8"/>
        <v>1.8088412</v>
      </c>
      <c r="E109" s="6">
        <f t="shared" si="10"/>
        <v>1.2409722000000001</v>
      </c>
      <c r="F109" s="12">
        <f t="shared" si="6"/>
        <v>345.43958512615205</v>
      </c>
      <c r="G109" s="12">
        <f t="shared" si="9"/>
        <v>6.5557243262217968</v>
      </c>
    </row>
    <row r="110" spans="1:7" x14ac:dyDescent="0.35">
      <c r="A110" s="11">
        <v>20941</v>
      </c>
      <c r="B110" s="6">
        <v>355</v>
      </c>
      <c r="C110" s="12">
        <f t="shared" si="7"/>
        <v>279.97723638920985</v>
      </c>
      <c r="D110" s="12">
        <f t="shared" si="8"/>
        <v>1.8088412</v>
      </c>
      <c r="E110" s="6">
        <f t="shared" si="10"/>
        <v>1.2383476</v>
      </c>
      <c r="F110" s="12">
        <f t="shared" si="6"/>
        <v>348.9491128960118</v>
      </c>
      <c r="G110" s="12">
        <f t="shared" si="9"/>
        <v>36.613234745210733</v>
      </c>
    </row>
    <row r="111" spans="1:7" x14ac:dyDescent="0.35">
      <c r="A111" s="11">
        <v>20972</v>
      </c>
      <c r="B111" s="6">
        <v>422</v>
      </c>
      <c r="C111" s="12">
        <f t="shared" si="7"/>
        <v>285.61121117518621</v>
      </c>
      <c r="D111" s="12">
        <f t="shared" si="8"/>
        <v>1.8088412</v>
      </c>
      <c r="E111" s="6">
        <f t="shared" si="10"/>
        <v>1.4130033</v>
      </c>
      <c r="F111" s="12">
        <f t="shared" si="6"/>
        <v>406.12548249231099</v>
      </c>
      <c r="G111" s="12">
        <f t="shared" si="9"/>
        <v>252.00030610192479</v>
      </c>
    </row>
    <row r="112" spans="1:7" x14ac:dyDescent="0.35">
      <c r="A112" s="11">
        <v>21002</v>
      </c>
      <c r="B112" s="6">
        <v>465</v>
      </c>
      <c r="C112" s="12">
        <f t="shared" si="7"/>
        <v>296.21488303002491</v>
      </c>
      <c r="D112" s="12">
        <f t="shared" si="8"/>
        <v>1.8088412</v>
      </c>
      <c r="E112" s="6">
        <f t="shared" si="10"/>
        <v>1.5573927000000001</v>
      </c>
      <c r="F112" s="12">
        <f t="shared" si="6"/>
        <v>464.13997254265394</v>
      </c>
      <c r="G112" s="12">
        <f t="shared" si="9"/>
        <v>0.73964722738913558</v>
      </c>
    </row>
    <row r="113" spans="1:7" x14ac:dyDescent="0.35">
      <c r="A113" s="11">
        <v>21033</v>
      </c>
      <c r="B113" s="6">
        <v>467</v>
      </c>
      <c r="C113" s="12">
        <f t="shared" si="7"/>
        <v>298.45602330434701</v>
      </c>
      <c r="D113" s="12">
        <f t="shared" si="8"/>
        <v>1.8088412</v>
      </c>
      <c r="E113" s="6">
        <f t="shared" si="10"/>
        <v>1.5314877</v>
      </c>
      <c r="F113" s="12">
        <f t="shared" si="6"/>
        <v>459.85194673057407</v>
      </c>
      <c r="G113" s="12">
        <f t="shared" si="9"/>
        <v>51.094665542550722</v>
      </c>
    </row>
    <row r="114" spans="1:7" x14ac:dyDescent="0.35">
      <c r="A114" s="11">
        <v>21064</v>
      </c>
      <c r="B114" s="6">
        <v>404</v>
      </c>
      <c r="C114" s="12">
        <f t="shared" si="7"/>
        <v>303.91866130046913</v>
      </c>
      <c r="D114" s="12">
        <f t="shared" si="8"/>
        <v>1.8088412</v>
      </c>
      <c r="E114" s="6">
        <f t="shared" si="10"/>
        <v>1.3376906</v>
      </c>
      <c r="F114" s="12">
        <f t="shared" si="6"/>
        <v>408.96880625635407</v>
      </c>
      <c r="G114" s="12">
        <f t="shared" si="9"/>
        <v>24.689035613183361</v>
      </c>
    </row>
    <row r="115" spans="1:7" x14ac:dyDescent="0.35">
      <c r="A115" s="11">
        <v>21094</v>
      </c>
      <c r="B115" s="6">
        <v>347</v>
      </c>
      <c r="C115" s="12">
        <f t="shared" si="7"/>
        <v>302.81968924983278</v>
      </c>
      <c r="D115" s="12">
        <f t="shared" si="8"/>
        <v>1.8088412</v>
      </c>
      <c r="E115" s="6">
        <f t="shared" si="10"/>
        <v>1.1563346999999999</v>
      </c>
      <c r="F115" s="12">
        <f t="shared" si="6"/>
        <v>352.25254036914828</v>
      </c>
      <c r="G115" s="12">
        <f t="shared" si="9"/>
        <v>27.589180329532329</v>
      </c>
    </row>
    <row r="116" spans="1:7" x14ac:dyDescent="0.35">
      <c r="A116" s="11">
        <v>21125</v>
      </c>
      <c r="B116" s="6">
        <v>305</v>
      </c>
      <c r="C116" s="12">
        <f t="shared" si="7"/>
        <v>301.0725778442644</v>
      </c>
      <c r="D116" s="12">
        <f t="shared" si="8"/>
        <v>1.8088412</v>
      </c>
      <c r="E116" s="6">
        <f t="shared" si="10"/>
        <v>1.0057966</v>
      </c>
      <c r="F116" s="12">
        <f t="shared" si="6"/>
        <v>304.63710147789641</v>
      </c>
      <c r="G116" s="12">
        <f t="shared" si="9"/>
        <v>0.13169533734497116</v>
      </c>
    </row>
    <row r="117" spans="1:7" x14ac:dyDescent="0.35">
      <c r="A117" s="11">
        <v>21155</v>
      </c>
      <c r="B117" s="6">
        <v>336</v>
      </c>
      <c r="C117" s="12">
        <f t="shared" si="7"/>
        <v>303.16387137306651</v>
      </c>
      <c r="D117" s="12">
        <f t="shared" si="8"/>
        <v>1.8088412</v>
      </c>
      <c r="E117" s="6">
        <f t="shared" si="10"/>
        <v>1.1276615999999999</v>
      </c>
      <c r="F117" s="12">
        <f t="shared" si="6"/>
        <v>343.90601701648433</v>
      </c>
      <c r="G117" s="12">
        <f t="shared" si="9"/>
        <v>62.505105064939741</v>
      </c>
    </row>
    <row r="118" spans="1:7" x14ac:dyDescent="0.35">
      <c r="A118" s="27">
        <v>21186</v>
      </c>
      <c r="B118" s="33"/>
      <c r="C118" s="29">
        <f>C117+D117</f>
        <v>304.97271257306653</v>
      </c>
      <c r="D118" s="30">
        <f>D117</f>
        <v>1.8088412</v>
      </c>
      <c r="E118" s="28">
        <f>E106</f>
        <v>1.147035</v>
      </c>
      <c r="F118" s="28">
        <f t="shared" si="6"/>
        <v>351.88917953208937</v>
      </c>
      <c r="G118" s="33"/>
    </row>
    <row r="119" spans="1:7" x14ac:dyDescent="0.35">
      <c r="A119" s="27">
        <v>21217</v>
      </c>
      <c r="B119" s="33"/>
      <c r="C119" s="28">
        <f t="shared" ref="C119:C141" si="11">C118+D118</f>
        <v>306.78155377306655</v>
      </c>
      <c r="D119" s="30">
        <f t="shared" ref="D119:D141" si="12">D118</f>
        <v>1.8088412</v>
      </c>
      <c r="E119" s="28">
        <f t="shared" ref="E119:E141" si="13">E107</f>
        <v>1.1133329999999999</v>
      </c>
      <c r="F119" s="28">
        <f t="shared" si="6"/>
        <v>343.5638702065491</v>
      </c>
      <c r="G119" s="33"/>
    </row>
    <row r="120" spans="1:7" x14ac:dyDescent="0.35">
      <c r="A120" s="27">
        <v>21245</v>
      </c>
      <c r="B120" s="33"/>
      <c r="C120" s="28">
        <f t="shared" si="11"/>
        <v>308.59039497306657</v>
      </c>
      <c r="D120" s="30">
        <f t="shared" si="12"/>
        <v>1.8088412</v>
      </c>
      <c r="E120" s="28">
        <f t="shared" si="13"/>
        <v>1.2832307999999999</v>
      </c>
      <c r="F120" s="28">
        <f t="shared" si="6"/>
        <v>398.31386015375313</v>
      </c>
      <c r="G120" s="33"/>
    </row>
    <row r="121" spans="1:7" x14ac:dyDescent="0.35">
      <c r="A121" s="27">
        <v>21276</v>
      </c>
      <c r="B121" s="33"/>
      <c r="C121" s="28">
        <f t="shared" si="11"/>
        <v>310.39923617306658</v>
      </c>
      <c r="D121" s="30">
        <f t="shared" si="12"/>
        <v>1.8088412</v>
      </c>
      <c r="E121" s="28">
        <f t="shared" si="13"/>
        <v>1.2409722000000001</v>
      </c>
      <c r="F121" s="28">
        <f t="shared" si="6"/>
        <v>387.44154463542469</v>
      </c>
      <c r="G121" s="33"/>
    </row>
    <row r="122" spans="1:7" x14ac:dyDescent="0.35">
      <c r="A122" s="27">
        <v>21306</v>
      </c>
      <c r="B122" s="33"/>
      <c r="C122" s="28">
        <f t="shared" si="11"/>
        <v>312.2080773730666</v>
      </c>
      <c r="D122" s="30">
        <f t="shared" si="12"/>
        <v>1.8088412</v>
      </c>
      <c r="E122" s="28">
        <f t="shared" si="13"/>
        <v>1.2383476</v>
      </c>
      <c r="F122" s="28">
        <f t="shared" si="6"/>
        <v>388.86209747435248</v>
      </c>
      <c r="G122" s="33"/>
    </row>
    <row r="123" spans="1:7" x14ac:dyDescent="0.35">
      <c r="A123" s="27">
        <v>21337</v>
      </c>
      <c r="B123" s="33"/>
      <c r="C123" s="28">
        <f t="shared" si="11"/>
        <v>314.01691857306662</v>
      </c>
      <c r="D123" s="30">
        <f t="shared" si="12"/>
        <v>1.8088412</v>
      </c>
      <c r="E123" s="28">
        <f t="shared" si="13"/>
        <v>1.4130033</v>
      </c>
      <c r="F123" s="28">
        <f t="shared" si="6"/>
        <v>446.26284078435037</v>
      </c>
      <c r="G123" s="33"/>
    </row>
    <row r="124" spans="1:7" x14ac:dyDescent="0.35">
      <c r="A124" s="27">
        <v>21367</v>
      </c>
      <c r="B124" s="33"/>
      <c r="C124" s="28">
        <f t="shared" si="11"/>
        <v>315.82575977306664</v>
      </c>
      <c r="D124" s="30">
        <f t="shared" si="12"/>
        <v>1.8088412</v>
      </c>
      <c r="E124" s="28">
        <f t="shared" si="13"/>
        <v>1.5573927000000001</v>
      </c>
      <c r="F124" s="28">
        <f t="shared" si="6"/>
        <v>494.68180882286691</v>
      </c>
      <c r="G124" s="33"/>
    </row>
    <row r="125" spans="1:7" x14ac:dyDescent="0.35">
      <c r="A125" s="27">
        <v>21398</v>
      </c>
      <c r="B125" s="33"/>
      <c r="C125" s="28">
        <f t="shared" si="11"/>
        <v>317.63460097306665</v>
      </c>
      <c r="D125" s="30">
        <f t="shared" si="12"/>
        <v>1.8088412</v>
      </c>
      <c r="E125" s="28">
        <f t="shared" si="13"/>
        <v>1.5314877</v>
      </c>
      <c r="F125" s="28">
        <f t="shared" si="6"/>
        <v>489.22370253371287</v>
      </c>
      <c r="G125" s="33"/>
    </row>
    <row r="126" spans="1:7" x14ac:dyDescent="0.35">
      <c r="A126" s="27">
        <v>21429</v>
      </c>
      <c r="B126" s="33"/>
      <c r="C126" s="28">
        <f t="shared" si="11"/>
        <v>319.44344217306667</v>
      </c>
      <c r="D126" s="30">
        <f t="shared" si="12"/>
        <v>1.8088412</v>
      </c>
      <c r="E126" s="28">
        <f t="shared" si="13"/>
        <v>1.3376906</v>
      </c>
      <c r="F126" s="28">
        <f t="shared" si="6"/>
        <v>429.73615969668759</v>
      </c>
      <c r="G126" s="33"/>
    </row>
    <row r="127" spans="1:7" x14ac:dyDescent="0.35">
      <c r="A127" s="27">
        <v>21459</v>
      </c>
      <c r="B127" s="33"/>
      <c r="C127" s="28">
        <f t="shared" si="11"/>
        <v>321.25228337306669</v>
      </c>
      <c r="D127" s="30">
        <f t="shared" si="12"/>
        <v>1.8088412</v>
      </c>
      <c r="E127" s="28">
        <f t="shared" si="13"/>
        <v>1.1563346999999999</v>
      </c>
      <c r="F127" s="28">
        <f t="shared" si="6"/>
        <v>373.56678856485968</v>
      </c>
      <c r="G127" s="33"/>
    </row>
    <row r="128" spans="1:7" x14ac:dyDescent="0.35">
      <c r="A128" s="27">
        <v>21490</v>
      </c>
      <c r="B128" s="33"/>
      <c r="C128" s="28">
        <f t="shared" si="11"/>
        <v>323.06112457306671</v>
      </c>
      <c r="D128" s="30">
        <f t="shared" si="12"/>
        <v>1.8088412</v>
      </c>
      <c r="E128" s="28">
        <f t="shared" si="13"/>
        <v>1.0057966</v>
      </c>
      <c r="F128" s="28">
        <f t="shared" si="6"/>
        <v>326.75310701666689</v>
      </c>
      <c r="G128" s="33"/>
    </row>
    <row r="129" spans="1:7" x14ac:dyDescent="0.35">
      <c r="A129" s="27">
        <v>21520</v>
      </c>
      <c r="B129" s="33"/>
      <c r="C129" s="28">
        <f t="shared" si="11"/>
        <v>324.86996577306672</v>
      </c>
      <c r="D129" s="30">
        <f t="shared" si="12"/>
        <v>1.8088412</v>
      </c>
      <c r="E129" s="28">
        <f t="shared" si="13"/>
        <v>1.1276615999999999</v>
      </c>
      <c r="F129" s="28">
        <f t="shared" si="6"/>
        <v>368.38314615733958</v>
      </c>
      <c r="G129" s="33"/>
    </row>
    <row r="130" spans="1:7" x14ac:dyDescent="0.35">
      <c r="A130" s="27">
        <v>21551</v>
      </c>
      <c r="B130" s="33"/>
      <c r="C130" s="28">
        <f t="shared" si="11"/>
        <v>326.67880697306674</v>
      </c>
      <c r="D130" s="30">
        <f t="shared" si="12"/>
        <v>1.8088412</v>
      </c>
      <c r="E130" s="28">
        <f t="shared" si="13"/>
        <v>1.147035</v>
      </c>
      <c r="F130" s="28">
        <f t="shared" si="6"/>
        <v>376.78682952219361</v>
      </c>
      <c r="G130" s="33"/>
    </row>
    <row r="131" spans="1:7" x14ac:dyDescent="0.35">
      <c r="A131" s="27">
        <v>21582</v>
      </c>
      <c r="B131" s="33"/>
      <c r="C131" s="28">
        <f t="shared" si="11"/>
        <v>328.48764817306676</v>
      </c>
      <c r="D131" s="30">
        <f t="shared" si="12"/>
        <v>1.8088412</v>
      </c>
      <c r="E131" s="28">
        <f t="shared" si="13"/>
        <v>1.1133329999999999</v>
      </c>
      <c r="F131" s="28">
        <f t="shared" si="6"/>
        <v>367.72998140318452</v>
      </c>
      <c r="G131" s="33"/>
    </row>
    <row r="132" spans="1:7" x14ac:dyDescent="0.35">
      <c r="A132" s="27">
        <v>21610</v>
      </c>
      <c r="B132" s="33"/>
      <c r="C132" s="28">
        <f t="shared" si="11"/>
        <v>330.29648937306678</v>
      </c>
      <c r="D132" s="30">
        <f t="shared" si="12"/>
        <v>1.8088412</v>
      </c>
      <c r="E132" s="28">
        <f t="shared" si="13"/>
        <v>1.2832307999999999</v>
      </c>
      <c r="F132" s="28">
        <f t="shared" si="6"/>
        <v>426.16778903554092</v>
      </c>
      <c r="G132" s="33"/>
    </row>
    <row r="133" spans="1:7" x14ac:dyDescent="0.35">
      <c r="A133" s="27">
        <v>21641</v>
      </c>
      <c r="B133" s="33"/>
      <c r="C133" s="28">
        <f t="shared" si="11"/>
        <v>332.10533057306679</v>
      </c>
      <c r="D133" s="30">
        <f t="shared" si="12"/>
        <v>1.8088412</v>
      </c>
      <c r="E133" s="28">
        <f t="shared" si="13"/>
        <v>1.2409722000000001</v>
      </c>
      <c r="F133" s="28">
        <f t="shared" si="6"/>
        <v>414.37820435640066</v>
      </c>
      <c r="G133" s="33"/>
    </row>
    <row r="134" spans="1:7" x14ac:dyDescent="0.35">
      <c r="A134" s="27">
        <v>21671</v>
      </c>
      <c r="B134" s="33"/>
      <c r="C134" s="28">
        <f t="shared" si="11"/>
        <v>333.91417177306681</v>
      </c>
      <c r="D134" s="30">
        <f t="shared" si="12"/>
        <v>1.8088412</v>
      </c>
      <c r="E134" s="28">
        <f t="shared" si="13"/>
        <v>1.2383476</v>
      </c>
      <c r="F134" s="28">
        <f t="shared" si="6"/>
        <v>415.74178737996618</v>
      </c>
      <c r="G134" s="33"/>
    </row>
    <row r="135" spans="1:7" x14ac:dyDescent="0.35">
      <c r="A135" s="27">
        <v>21702</v>
      </c>
      <c r="B135" s="33"/>
      <c r="C135" s="28">
        <f t="shared" si="11"/>
        <v>335.72301297306683</v>
      </c>
      <c r="D135" s="30">
        <f t="shared" si="12"/>
        <v>1.8088412</v>
      </c>
      <c r="E135" s="28">
        <f t="shared" si="13"/>
        <v>1.4130033</v>
      </c>
      <c r="F135" s="28">
        <f t="shared" si="6"/>
        <v>476.93362380166224</v>
      </c>
      <c r="G135" s="33"/>
    </row>
    <row r="136" spans="1:7" x14ac:dyDescent="0.35">
      <c r="A136" s="27">
        <v>21732</v>
      </c>
      <c r="B136" s="33"/>
      <c r="C136" s="28">
        <f t="shared" si="11"/>
        <v>337.53185417306685</v>
      </c>
      <c r="D136" s="30">
        <f t="shared" si="12"/>
        <v>1.8088412</v>
      </c>
      <c r="E136" s="28">
        <f t="shared" si="13"/>
        <v>1.5573927000000001</v>
      </c>
      <c r="F136" s="28">
        <f t="shared" si="6"/>
        <v>528.48672178693812</v>
      </c>
      <c r="G136" s="33"/>
    </row>
    <row r="137" spans="1:7" x14ac:dyDescent="0.35">
      <c r="A137" s="27">
        <v>21763</v>
      </c>
      <c r="B137" s="33"/>
      <c r="C137" s="28">
        <f t="shared" si="11"/>
        <v>339.34069537306686</v>
      </c>
      <c r="D137" s="30">
        <f t="shared" si="12"/>
        <v>1.8088412</v>
      </c>
      <c r="E137" s="28">
        <f t="shared" si="13"/>
        <v>1.5314877</v>
      </c>
      <c r="F137" s="28">
        <f t="shared" si="6"/>
        <v>522.46631912235205</v>
      </c>
      <c r="G137" s="33"/>
    </row>
    <row r="138" spans="1:7" x14ac:dyDescent="0.35">
      <c r="A138" s="27">
        <v>21794</v>
      </c>
      <c r="B138" s="33"/>
      <c r="C138" s="28">
        <f t="shared" si="11"/>
        <v>341.14953657306688</v>
      </c>
      <c r="D138" s="30">
        <f t="shared" si="12"/>
        <v>1.8088412</v>
      </c>
      <c r="E138" s="28">
        <f t="shared" si="13"/>
        <v>1.3376906</v>
      </c>
      <c r="F138" s="28">
        <f t="shared" si="6"/>
        <v>458.77219813828049</v>
      </c>
      <c r="G138" s="33"/>
    </row>
    <row r="139" spans="1:7" x14ac:dyDescent="0.35">
      <c r="A139" s="27">
        <v>21824</v>
      </c>
      <c r="B139" s="33"/>
      <c r="C139" s="28">
        <f t="shared" si="11"/>
        <v>342.9583777730669</v>
      </c>
      <c r="D139" s="30">
        <f t="shared" si="12"/>
        <v>1.8088412</v>
      </c>
      <c r="E139" s="28">
        <f t="shared" si="13"/>
        <v>1.1563346999999999</v>
      </c>
      <c r="F139" s="28">
        <f t="shared" ref="F139:F141" si="14">(C139+D139)*E139</f>
        <v>398.66629872105563</v>
      </c>
      <c r="G139" s="33"/>
    </row>
    <row r="140" spans="1:7" x14ac:dyDescent="0.35">
      <c r="A140" s="27">
        <v>21855</v>
      </c>
      <c r="B140" s="33"/>
      <c r="C140" s="28">
        <f t="shared" si="11"/>
        <v>344.76721897306692</v>
      </c>
      <c r="D140" s="30">
        <f t="shared" si="12"/>
        <v>1.8088412</v>
      </c>
      <c r="E140" s="28">
        <f t="shared" si="13"/>
        <v>1.0057966</v>
      </c>
      <c r="F140" s="28">
        <f t="shared" si="14"/>
        <v>348.58502296346614</v>
      </c>
      <c r="G140" s="33"/>
    </row>
    <row r="141" spans="1:7" x14ac:dyDescent="0.35">
      <c r="A141" s="27">
        <v>21885</v>
      </c>
      <c r="B141" s="33"/>
      <c r="C141" s="28">
        <f t="shared" si="11"/>
        <v>346.57606017306694</v>
      </c>
      <c r="D141" s="30">
        <f t="shared" si="12"/>
        <v>1.8088412</v>
      </c>
      <c r="E141" s="28">
        <f t="shared" si="13"/>
        <v>1.1276615999999999</v>
      </c>
      <c r="F141" s="28">
        <f t="shared" si="14"/>
        <v>392.86027529819484</v>
      </c>
      <c r="G141" s="33"/>
    </row>
  </sheetData>
  <mergeCells count="3">
    <mergeCell ref="C1:E1"/>
    <mergeCell ref="I8:J8"/>
    <mergeCell ref="I14:M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flight</vt:lpstr>
      <vt:lpstr>Base Model</vt:lpstr>
      <vt:lpstr>SES</vt:lpstr>
      <vt:lpstr>Holt Linear (1)</vt:lpstr>
      <vt:lpstr>Holt Linear (2)</vt:lpstr>
      <vt:lpstr>Holt-Winters (1)</vt:lpstr>
      <vt:lpstr>Holt-Winters (2)</vt:lpstr>
      <vt:lpstr>Holt-Winters (3)</vt:lpstr>
      <vt:lpstr>Holt-Winters (4)</vt:lpstr>
      <vt:lpstr>Summary</vt:lpstr>
      <vt:lpstr>ETS Classification</vt:lpstr>
      <vt:lpstr>Forecast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Eoin Martyn</dc:creator>
  <cp:lastModifiedBy>Eoin Martyn</cp:lastModifiedBy>
  <dcterms:created xsi:type="dcterms:W3CDTF">2021-08-12T08:47:24Z</dcterms:created>
  <dcterms:modified xsi:type="dcterms:W3CDTF">2023-01-24T13:44:54Z</dcterms:modified>
</cp:coreProperties>
</file>